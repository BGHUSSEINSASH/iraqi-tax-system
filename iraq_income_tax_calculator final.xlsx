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GHUSSEINSASH\Desktop\نظام ضريبة\"/>
    </mc:Choice>
  </mc:AlternateContent>
  <xr:revisionPtr revIDLastSave="0" documentId="13_ncr:1_{E8AA52C9-64DE-41A4-8F0A-5B738AB06CA4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التعليمات والملاحظات" sheetId="1" r:id="rId1"/>
    <sheet name="حساب الضريبة الشهرية" sheetId="2" r:id="rId2"/>
    <sheet name="مقياس الضريبة" sheetId="3" r:id="rId3"/>
    <sheet name="جدول السماحات" sheetId="4" r:id="rId4"/>
    <sheet name="بطاقة موظف منفردة" sheetId="5" r:id="rId5"/>
  </sheets>
  <definedNames>
    <definedName name="_xlnm._FilterDatabase" localSheetId="1" hidden="1">'حساب الضريبة الشهرية'!$A$1:$AA$61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2" l="1"/>
  <c r="F4" i="2"/>
  <c r="AI4" i="2" s="1"/>
  <c r="F5" i="2"/>
  <c r="AJ5" i="2" s="1"/>
  <c r="F6" i="2"/>
  <c r="AB6" i="2" s="1"/>
  <c r="F7" i="2"/>
  <c r="AB7" i="2" s="1"/>
  <c r="F8" i="2"/>
  <c r="AI8" i="2" s="1"/>
  <c r="F9" i="2"/>
  <c r="AB9" i="2" s="1"/>
  <c r="F10" i="2"/>
  <c r="AB10" i="2" s="1"/>
  <c r="F11" i="2"/>
  <c r="AB11" i="2" s="1"/>
  <c r="F12" i="2"/>
  <c r="AB12" i="2" s="1"/>
  <c r="F13" i="2"/>
  <c r="AB13" i="2" s="1"/>
  <c r="F14" i="2"/>
  <c r="AD14" i="2" s="1"/>
  <c r="F15" i="2"/>
  <c r="AI15" i="2" s="1"/>
  <c r="F16" i="2"/>
  <c r="AJ16" i="2" s="1"/>
  <c r="F17" i="2"/>
  <c r="F18" i="2"/>
  <c r="AB18" i="2" s="1"/>
  <c r="F19" i="2"/>
  <c r="AB19" i="2" s="1"/>
  <c r="F20" i="2"/>
  <c r="AI20" i="2" s="1"/>
  <c r="F2" i="2"/>
  <c r="S2" i="2"/>
  <c r="S3" i="2"/>
  <c r="S4" i="2"/>
  <c r="S5" i="2"/>
  <c r="S6" i="2"/>
  <c r="S7" i="2"/>
  <c r="S8" i="2"/>
  <c r="S9" i="2"/>
  <c r="AH9" i="2" s="1"/>
  <c r="S10" i="2"/>
  <c r="S11" i="2"/>
  <c r="S12" i="2"/>
  <c r="S13" i="2"/>
  <c r="S14" i="2"/>
  <c r="S15" i="2"/>
  <c r="S16" i="2"/>
  <c r="S17" i="2"/>
  <c r="S18" i="2"/>
  <c r="S19" i="2"/>
  <c r="S20" i="2"/>
  <c r="B6" i="5"/>
  <c r="C4" i="5"/>
  <c r="L21" i="2"/>
  <c r="AH7" i="2" l="1"/>
  <c r="AD8" i="2"/>
  <c r="AB20" i="2"/>
  <c r="AC7" i="2"/>
  <c r="AD4" i="2"/>
  <c r="AJ11" i="2"/>
  <c r="AB5" i="2"/>
  <c r="AC5" i="2"/>
  <c r="AI10" i="2"/>
  <c r="AB14" i="2"/>
  <c r="AH8" i="2"/>
  <c r="AI12" i="2"/>
  <c r="AI7" i="2"/>
  <c r="AH4" i="2"/>
  <c r="AJ4" i="2"/>
  <c r="AK4" i="2" s="1"/>
  <c r="AC4" i="2"/>
  <c r="AI9" i="2"/>
  <c r="AD5" i="2"/>
  <c r="AI5" i="2"/>
  <c r="AK5" i="2" s="1"/>
  <c r="AJ12" i="2"/>
  <c r="AH5" i="2"/>
  <c r="AI11" i="2"/>
  <c r="AK11" i="2" s="1"/>
  <c r="AB16" i="2"/>
  <c r="AB15" i="2"/>
  <c r="AJ7" i="2"/>
  <c r="AH10" i="2"/>
  <c r="AJ15" i="2"/>
  <c r="AK15" i="2" s="1"/>
  <c r="AH15" i="2"/>
  <c r="AH11" i="2"/>
  <c r="AH17" i="2"/>
  <c r="AJ14" i="2"/>
  <c r="AH16" i="2"/>
  <c r="AB4" i="2"/>
  <c r="AJ13" i="2"/>
  <c r="AD7" i="2"/>
  <c r="AI14" i="2"/>
  <c r="AJ9" i="2"/>
  <c r="AH13" i="2"/>
  <c r="AH12" i="2"/>
  <c r="AH14" i="2"/>
  <c r="AD9" i="2"/>
  <c r="AJ10" i="2"/>
  <c r="AB17" i="2"/>
  <c r="AI13" i="2"/>
  <c r="AJ8" i="2"/>
  <c r="AK8" i="2" s="1"/>
  <c r="AC6" i="2"/>
  <c r="AD6" i="2"/>
  <c r="AC18" i="2"/>
  <c r="AD18" i="2"/>
  <c r="AD16" i="2"/>
  <c r="AH6" i="2"/>
  <c r="AH19" i="2"/>
  <c r="AD12" i="2"/>
  <c r="AH18" i="2"/>
  <c r="AD11" i="2"/>
  <c r="AI18" i="2"/>
  <c r="AJ19" i="2"/>
  <c r="AB8" i="2"/>
  <c r="AC9" i="2"/>
  <c r="AD10" i="2"/>
  <c r="AI17" i="2"/>
  <c r="AJ18" i="2"/>
  <c r="AC20" i="2"/>
  <c r="AC19" i="2"/>
  <c r="AD19" i="2"/>
  <c r="AC17" i="2"/>
  <c r="AC16" i="2"/>
  <c r="AC14" i="2"/>
  <c r="AC13" i="2"/>
  <c r="AJ6" i="2"/>
  <c r="AC12" i="2"/>
  <c r="AC11" i="2"/>
  <c r="AI19" i="2"/>
  <c r="AJ20" i="2"/>
  <c r="AK20" i="2" s="1"/>
  <c r="AC10" i="2"/>
  <c r="AI16" i="2"/>
  <c r="AK16" i="2" s="1"/>
  <c r="AJ17" i="2"/>
  <c r="AD20" i="2"/>
  <c r="AD17" i="2"/>
  <c r="AC15" i="2"/>
  <c r="AD15" i="2"/>
  <c r="AI6" i="2"/>
  <c r="AH20" i="2"/>
  <c r="AD13" i="2"/>
  <c r="AC8" i="2"/>
  <c r="AB3" i="2"/>
  <c r="AJ3" i="2"/>
  <c r="AC3" i="2"/>
  <c r="AH3" i="2"/>
  <c r="AI3" i="2"/>
  <c r="AD3" i="2"/>
  <c r="AH2" i="2"/>
  <c r="AE2" i="2"/>
  <c r="AM2" i="2"/>
  <c r="AC2" i="2"/>
  <c r="AI2" i="2"/>
  <c r="AD2" i="2"/>
  <c r="AJ2" i="2"/>
  <c r="AB2" i="2"/>
  <c r="W3" i="2"/>
  <c r="AM3" i="2" s="1"/>
  <c r="W4" i="2"/>
  <c r="AM4" i="2" s="1"/>
  <c r="W5" i="2"/>
  <c r="AM5" i="2" s="1"/>
  <c r="W6" i="2"/>
  <c r="AM6" i="2" s="1"/>
  <c r="W7" i="2"/>
  <c r="AM7" i="2" s="1"/>
  <c r="W8" i="2"/>
  <c r="AM8" i="2" s="1"/>
  <c r="W9" i="2"/>
  <c r="AM9" i="2" s="1"/>
  <c r="W10" i="2"/>
  <c r="AM10" i="2" s="1"/>
  <c r="W11" i="2"/>
  <c r="AM11" i="2" s="1"/>
  <c r="W12" i="2"/>
  <c r="AM12" i="2" s="1"/>
  <c r="W13" i="2"/>
  <c r="AM13" i="2" s="1"/>
  <c r="W14" i="2"/>
  <c r="AM14" i="2" s="1"/>
  <c r="W15" i="2"/>
  <c r="AM15" i="2" s="1"/>
  <c r="W16" i="2"/>
  <c r="AM16" i="2" s="1"/>
  <c r="W17" i="2"/>
  <c r="AM17" i="2" s="1"/>
  <c r="W18" i="2"/>
  <c r="AM18" i="2" s="1"/>
  <c r="W19" i="2"/>
  <c r="AM19" i="2" s="1"/>
  <c r="W20" i="2"/>
  <c r="AM20" i="2" s="1"/>
  <c r="W2" i="2"/>
  <c r="P2" i="2"/>
  <c r="Q2" i="2" s="1"/>
  <c r="AF2" i="2" s="1"/>
  <c r="R2" i="2"/>
  <c r="AG2" i="2" s="1"/>
  <c r="P3" i="2"/>
  <c r="R3" i="2"/>
  <c r="AG3" i="2" s="1"/>
  <c r="P4" i="2"/>
  <c r="R4" i="2"/>
  <c r="AG4" i="2" s="1"/>
  <c r="P5" i="2"/>
  <c r="R5" i="2"/>
  <c r="AG5" i="2" s="1"/>
  <c r="P6" i="2"/>
  <c r="Q6" i="2" s="1"/>
  <c r="AF6" i="2" s="1"/>
  <c r="R6" i="2"/>
  <c r="AG6" i="2" s="1"/>
  <c r="P7" i="2"/>
  <c r="R7" i="2"/>
  <c r="AG7" i="2" s="1"/>
  <c r="P8" i="2"/>
  <c r="R8" i="2"/>
  <c r="AG8" i="2" s="1"/>
  <c r="P9" i="2"/>
  <c r="Q9" i="2" s="1"/>
  <c r="AF9" i="2" s="1"/>
  <c r="R9" i="2"/>
  <c r="AG9" i="2" s="1"/>
  <c r="P10" i="2"/>
  <c r="Q10" i="2" s="1"/>
  <c r="AF10" i="2" s="1"/>
  <c r="R10" i="2"/>
  <c r="AG10" i="2" s="1"/>
  <c r="P11" i="2"/>
  <c r="Q11" i="2" s="1"/>
  <c r="AF11" i="2" s="1"/>
  <c r="R11" i="2"/>
  <c r="AG11" i="2" s="1"/>
  <c r="P12" i="2"/>
  <c r="Q12" i="2" s="1"/>
  <c r="AF12" i="2" s="1"/>
  <c r="R12" i="2"/>
  <c r="AG12" i="2" s="1"/>
  <c r="P13" i="2"/>
  <c r="Q13" i="2" s="1"/>
  <c r="AF13" i="2" s="1"/>
  <c r="R13" i="2"/>
  <c r="AG13" i="2" s="1"/>
  <c r="P14" i="2"/>
  <c r="Q14" i="2" s="1"/>
  <c r="AF14" i="2" s="1"/>
  <c r="R14" i="2"/>
  <c r="AG14" i="2" s="1"/>
  <c r="P15" i="2"/>
  <c r="Q15" i="2" s="1"/>
  <c r="AF15" i="2" s="1"/>
  <c r="R15" i="2"/>
  <c r="AG15" i="2" s="1"/>
  <c r="P16" i="2"/>
  <c r="Q16" i="2" s="1"/>
  <c r="AF16" i="2" s="1"/>
  <c r="R16" i="2"/>
  <c r="AG16" i="2" s="1"/>
  <c r="P17" i="2"/>
  <c r="Q17" i="2" s="1"/>
  <c r="AF17" i="2" s="1"/>
  <c r="R17" i="2"/>
  <c r="AG17" i="2" s="1"/>
  <c r="P18" i="2"/>
  <c r="Q18" i="2" s="1"/>
  <c r="AF18" i="2" s="1"/>
  <c r="R18" i="2"/>
  <c r="AG18" i="2" s="1"/>
  <c r="P19" i="2"/>
  <c r="Q19" i="2" s="1"/>
  <c r="AF19" i="2" s="1"/>
  <c r="R19" i="2"/>
  <c r="AG19" i="2" s="1"/>
  <c r="P20" i="2"/>
  <c r="Q20" i="2" s="1"/>
  <c r="AF20" i="2" s="1"/>
  <c r="R20" i="2"/>
  <c r="AG20" i="2" s="1"/>
  <c r="AK3" i="2" l="1"/>
  <c r="AK14" i="2"/>
  <c r="AK19" i="2"/>
  <c r="AK6" i="2"/>
  <c r="AE17" i="2"/>
  <c r="AK7" i="2"/>
  <c r="AK10" i="2"/>
  <c r="AE16" i="2"/>
  <c r="AK9" i="2"/>
  <c r="AK17" i="2"/>
  <c r="AE10" i="2"/>
  <c r="AK18" i="2"/>
  <c r="AK13" i="2"/>
  <c r="AK12" i="2"/>
  <c r="AK2" i="2"/>
  <c r="AE19" i="2"/>
  <c r="AE12" i="2"/>
  <c r="AE13" i="2"/>
  <c r="Q7" i="2"/>
  <c r="AF7" i="2" s="1"/>
  <c r="AE7" i="2"/>
  <c r="Q4" i="2"/>
  <c r="AF4" i="2" s="1"/>
  <c r="AE4" i="2"/>
  <c r="AE15" i="2"/>
  <c r="AE9" i="2"/>
  <c r="Q5" i="2"/>
  <c r="AF5" i="2" s="1"/>
  <c r="AE5" i="2"/>
  <c r="AE14" i="2"/>
  <c r="Q8" i="2"/>
  <c r="AF8" i="2" s="1"/>
  <c r="AE8" i="2"/>
  <c r="AE20" i="2"/>
  <c r="AE11" i="2"/>
  <c r="AE6" i="2"/>
  <c r="Q3" i="2"/>
  <c r="AF3" i="2" s="1"/>
  <c r="AE3" i="2"/>
  <c r="AE18" i="2"/>
  <c r="V5" i="2"/>
  <c r="AL5" i="2" s="1"/>
  <c r="V17" i="2"/>
  <c r="V6" i="2"/>
  <c r="V13" i="2"/>
  <c r="V15" i="2"/>
  <c r="V4" i="2"/>
  <c r="V3" i="2"/>
  <c r="V16" i="2"/>
  <c r="V14" i="2"/>
  <c r="V18" i="2"/>
  <c r="V10" i="2"/>
  <c r="V19" i="2"/>
  <c r="V9" i="2"/>
  <c r="V8" i="2"/>
  <c r="V20" i="2"/>
  <c r="V7" i="2"/>
  <c r="V12" i="2"/>
  <c r="V11" i="2"/>
  <c r="V2" i="2"/>
  <c r="C27" i="5"/>
  <c r="C24" i="5"/>
  <c r="C22" i="5"/>
  <c r="C21" i="5"/>
  <c r="C16" i="5"/>
  <c r="C15" i="5"/>
  <c r="C7" i="4"/>
  <c r="C6" i="4"/>
  <c r="C5" i="4"/>
  <c r="C4" i="4"/>
  <c r="C3" i="4"/>
  <c r="X12" i="2" l="1"/>
  <c r="AL12" i="2"/>
  <c r="X7" i="2"/>
  <c r="AL7" i="2"/>
  <c r="X20" i="2"/>
  <c r="AL20" i="2"/>
  <c r="X8" i="2"/>
  <c r="AL8" i="2"/>
  <c r="X9" i="2"/>
  <c r="AL9" i="2"/>
  <c r="X19" i="2"/>
  <c r="AL19" i="2"/>
  <c r="X10" i="2"/>
  <c r="AL10" i="2"/>
  <c r="X18" i="2"/>
  <c r="AL18" i="2"/>
  <c r="X14" i="2"/>
  <c r="AL14" i="2"/>
  <c r="X16" i="2"/>
  <c r="AL16" i="2"/>
  <c r="X3" i="2"/>
  <c r="AL3" i="2"/>
  <c r="X5" i="2"/>
  <c r="X13" i="2"/>
  <c r="AL13" i="2"/>
  <c r="X2" i="2"/>
  <c r="AN2" i="2" s="1"/>
  <c r="AL2" i="2"/>
  <c r="X6" i="2"/>
  <c r="AL6" i="2"/>
  <c r="X4" i="2"/>
  <c r="AL4" i="2"/>
  <c r="X15" i="2"/>
  <c r="AL15" i="2"/>
  <c r="X11" i="2"/>
  <c r="AL11" i="2"/>
  <c r="X17" i="2"/>
  <c r="AL17" i="2"/>
  <c r="C29" i="5"/>
  <c r="C26" i="5"/>
  <c r="C28" i="5" s="1"/>
  <c r="Y15" i="2" l="1"/>
  <c r="AN15" i="2"/>
  <c r="Y4" i="2"/>
  <c r="AN4" i="2"/>
  <c r="Y10" i="2"/>
  <c r="AN10" i="2"/>
  <c r="Y19" i="2"/>
  <c r="AN19" i="2"/>
  <c r="Y18" i="2"/>
  <c r="AN18" i="2"/>
  <c r="Y6" i="2"/>
  <c r="AN6" i="2"/>
  <c r="Y9" i="2"/>
  <c r="AN9" i="2"/>
  <c r="Y13" i="2"/>
  <c r="AN13" i="2"/>
  <c r="Y2" i="2"/>
  <c r="Y5" i="2"/>
  <c r="AN5" i="2"/>
  <c r="Y8" i="2"/>
  <c r="AN8" i="2"/>
  <c r="Y3" i="2"/>
  <c r="AN3" i="2"/>
  <c r="Y20" i="2"/>
  <c r="AN20" i="2"/>
  <c r="Y17" i="2"/>
  <c r="AN17" i="2"/>
  <c r="Y16" i="2"/>
  <c r="AN16" i="2"/>
  <c r="Y7" i="2"/>
  <c r="AN7" i="2"/>
  <c r="Y11" i="2"/>
  <c r="AN11" i="2"/>
  <c r="Y14" i="2"/>
  <c r="AN14" i="2"/>
  <c r="Y12" i="2"/>
  <c r="AN12" i="2"/>
  <c r="Y21" i="2" l="1"/>
  <c r="Z15" i="2"/>
  <c r="AA15" i="2"/>
  <c r="Z7" i="2"/>
  <c r="AA7" i="2"/>
  <c r="Z9" i="2"/>
  <c r="AA9" i="2"/>
  <c r="Z6" i="2"/>
  <c r="AA6" i="2"/>
  <c r="Z18" i="2"/>
  <c r="AA18" i="2"/>
  <c r="AA2" i="2"/>
  <c r="Z20" i="2"/>
  <c r="AA20" i="2"/>
  <c r="Z2" i="2"/>
  <c r="Z19" i="2"/>
  <c r="AA19" i="2"/>
  <c r="Z3" i="2"/>
  <c r="AA3" i="2"/>
  <c r="Z8" i="2"/>
  <c r="AA8" i="2"/>
  <c r="Z4" i="2"/>
  <c r="AA4" i="2"/>
  <c r="Z11" i="2"/>
  <c r="AA11" i="2"/>
  <c r="Z13" i="2"/>
  <c r="AA13" i="2"/>
  <c r="Z16" i="2"/>
  <c r="AA16" i="2"/>
  <c r="Z17" i="2"/>
  <c r="AA17" i="2"/>
  <c r="Z10" i="2"/>
  <c r="AA10" i="2"/>
  <c r="Z12" i="2"/>
  <c r="AA12" i="2"/>
  <c r="Z14" i="2"/>
  <c r="AA14" i="2"/>
  <c r="Z5" i="2"/>
  <c r="AA5" i="2"/>
  <c r="AA21" i="2" l="1"/>
</calcChain>
</file>

<file path=xl/sharedStrings.xml><?xml version="1.0" encoding="utf-8"?>
<sst xmlns="http://schemas.openxmlformats.org/spreadsheetml/2006/main" count="443" uniqueCount="250">
  <si>
    <t>حاسبة ضريبة الدخل العراقية – قانون رقم 113 لسنة 1982 وتعليمات الاستقطاع المباشر رقم 1 لسنة 2007</t>
  </si>
  <si>
    <t>دليل الاستخدام والتعليمات القانونية</t>
  </si>
  <si>
    <t>القسم</t>
  </si>
  <si>
    <t>التفصيل</t>
  </si>
  <si>
    <t>ورقة العمل الرئيسية</t>
  </si>
  <si>
    <t>أدخل بيانات الموظف في الأعمدة الملوّنة باللون الأزرق في ورقة 'حساب الضريبة الشهرية'</t>
  </si>
  <si>
    <t>الحالة الاجتماعية</t>
  </si>
  <si>
    <t>اختر من: أعزب | متزوج-زوجة ربة بيت | متزوج-زوجة تعمل | أرمل | مطلق</t>
  </si>
  <si>
    <t>حالة الإقامة</t>
  </si>
  <si>
    <t>مقيم: يستفيد من السماحات القانونية | غير مقيم: تُفرض الضريبة من الدينار الأول بلا سماحات</t>
  </si>
  <si>
    <t>القطاع</t>
  </si>
  <si>
    <t>حكومي: لا يُطبق إعفاء 30% | خاص: مخصصات السكن/النقل/الطعام/الملابس/الخطورة معفاة بحد 30% من الراتب</t>
  </si>
  <si>
    <t>السماح الشخصي</t>
  </si>
  <si>
    <t>أعزب أو متزوج-زوجته تعمل: 2,500,000 دينار سنوياً (208,333 شهرياً)</t>
  </si>
  <si>
    <t>سماح الزوجة</t>
  </si>
  <si>
    <t>ربة بيت: 2,000,000 دينار سنوياً (166,667 شهرياً) – يُضاف لسماح المكلف</t>
  </si>
  <si>
    <t>الأرمل/المطلق</t>
  </si>
  <si>
    <t>3,200,000 دينار سنوياً (266,667 شهرياً)</t>
  </si>
  <si>
    <t>سماح الأولاد</t>
  </si>
  <si>
    <t>200,000 دينار سنوياً لكل ولد (16,667 شهرياً) – دون 18 أو طالب حتى 25 أو بنت معالة أو عاجز</t>
  </si>
  <si>
    <t>سماح العمر</t>
  </si>
  <si>
    <t>300,000 دينار سنوياً (25,000 شهرياً) لمن أتم 63 سنة</t>
  </si>
  <si>
    <t>التوقيفات التقاعدية</t>
  </si>
  <si>
    <t>تُطرح من الدخل الإجمالي قبل احتساب السماحات</t>
  </si>
  <si>
    <t>التأمين على الحياة</t>
  </si>
  <si>
    <t>أقساط التأمين لدى شركة عراقية: حد أقصى 2,000,000 دينار سنوياً (166,667 شهرياً)</t>
  </si>
  <si>
    <t>النفقة الشرعية</t>
  </si>
  <si>
    <t>تُطرح إذا كانت محكوماً بها قضائياً ومدفوعة نقداً</t>
  </si>
  <si>
    <t>السكن العيني</t>
  </si>
  <si>
    <t>غير مؤثث: يُضاف 10% من الراتب | مؤثث: يُضاف 20% من الراتب</t>
  </si>
  <si>
    <t>مقياس الضريبة</t>
  </si>
  <si>
    <t>3% للشريحة 1-20,833 | 5% للشريحة 20,834-41,667 | 10% للشريحة 41,668-83,333 | 15% لما زاد</t>
  </si>
  <si>
    <t>مكافأة نهاية الخدمة</t>
  </si>
  <si>
    <t>معفاة تماماً ولا تدخل في وعاء الضريبة</t>
  </si>
  <si>
    <t>موعد التسديد</t>
  </si>
  <si>
    <t>يجب تسديد الاستقطاعات خلال 15 يوماً من الشهر التالي – غرامة 5% تتضاعف بعد 21 يوماً إضافية</t>
  </si>
  <si>
    <t>الموظف الأجنبي المقيم</t>
  </si>
  <si>
    <t>لا تُفرض الضريبة على الدخل الناجم خارج العراق حتى لو كان مقيماً</t>
  </si>
  <si>
    <t>بيانات الموظف</t>
  </si>
  <si>
    <t>وعاء الدخل الشهري</t>
  </si>
  <si>
    <t>#</t>
  </si>
  <si>
    <t>الاسم الثلاثي</t>
  </si>
  <si>
    <t>حالة الإقامة
(مقيم/غير مقيم)</t>
  </si>
  <si>
    <t>عدد
الأولاد</t>
  </si>
  <si>
    <t>فوق
63 سنة؟</t>
  </si>
  <si>
    <t>القطاع
(حكومي/خاص)</t>
  </si>
  <si>
    <t>الراتب الاسمي
(IQD)</t>
  </si>
  <si>
    <t>مخصصات خاضعة
(IQD)</t>
  </si>
  <si>
    <t>نوع السكن
العيني</t>
  </si>
  <si>
    <t>إضافة السكن
العيني (IQD)</t>
  </si>
  <si>
    <t>الدخل الإجمالي
(IQD)</t>
  </si>
  <si>
    <t>توقيفات
تقاعدية (IQD)</t>
  </si>
  <si>
    <t>تأمين حياة
شهري (IQD)</t>
  </si>
  <si>
    <t>نفقة شرعية
(IQD)</t>
  </si>
  <si>
    <t>إجمالي
التنزيلات (IQD)</t>
  </si>
  <si>
    <t>السماح الشهري
(IQD)</t>
  </si>
  <si>
    <t>الوعاء الضريبي
الصافي (IQD)</t>
  </si>
  <si>
    <t>الضريبة
الشهرية (IQD)</t>
  </si>
  <si>
    <t>الضريبة
السنوية (IQD)</t>
  </si>
  <si>
    <t>صافي الراتب
المستلم (IQD)</t>
  </si>
  <si>
    <t>لا يوجد</t>
  </si>
  <si>
    <t>مقياس الضريبة التصاعدي – شهري وسنوي</t>
  </si>
  <si>
    <t>جدول الشرائح الضريبية وفق تعليمات الاستقطاع المباشر رقم 1 لسنة 2007</t>
  </si>
  <si>
    <t>الشريحة</t>
  </si>
  <si>
    <t>من (شهري)</t>
  </si>
  <si>
    <t>إلى (شهري)</t>
  </si>
  <si>
    <t>من (سنوي)</t>
  </si>
  <si>
    <t>إلى (سنوي)</t>
  </si>
  <si>
    <t>نسبة الضريبة</t>
  </si>
  <si>
    <t>الشريحة الأولى</t>
  </si>
  <si>
    <t>3%</t>
  </si>
  <si>
    <t>الشريحة الثانية</t>
  </si>
  <si>
    <t>5%</t>
  </si>
  <si>
    <t>الشريحة الثالثة</t>
  </si>
  <si>
    <t>10%</t>
  </si>
  <si>
    <t>الشريحة الرابعة</t>
  </si>
  <si>
    <t>فأكثر</t>
  </si>
  <si>
    <t>15%</t>
  </si>
  <si>
    <t>السماحات القانونية السنوية للمقيمين</t>
  </si>
  <si>
    <t>نوع السماح</t>
  </si>
  <si>
    <t>المبلغ السنوي (IQD)</t>
  </si>
  <si>
    <t>المبلغ الشهري (IQD)</t>
  </si>
  <si>
    <t>ملاحظات</t>
  </si>
  <si>
    <t>سماح المكلف (أعزب أو متزوج-زوجته تعمل)</t>
  </si>
  <si>
    <t>الحد الأدنى لجميع المقيمين</t>
  </si>
  <si>
    <t>سماح الزوجة (ربة بيت) – يُضاف للسابق</t>
  </si>
  <si>
    <t>المجموع للزوج وزوجة ربة بيت = 4,500,000</t>
  </si>
  <si>
    <t>سماح الأرمل أو المطلق</t>
  </si>
  <si>
    <t>بدلاً من سماح المكلف</t>
  </si>
  <si>
    <t>سماح كل ولد مستحق</t>
  </si>
  <si>
    <t>دون 18 أو طالب حتى 25 أو بنت معالة أو عاجز</t>
  </si>
  <si>
    <t>سماح العمر (من أتم 63 سنة)</t>
  </si>
  <si>
    <t>يُضاف لأي حالة اجتماعية</t>
  </si>
  <si>
    <t>بطاقة حساب ضريبة الموظف المنفردة</t>
  </si>
  <si>
    <t>أدخل البيانات في الخلايا الزرقاء – تُحسب النتائج تلقائياً</t>
  </si>
  <si>
    <t>مقيم</t>
  </si>
  <si>
    <t>اكتب: مقيم أو غير مقيم</t>
  </si>
  <si>
    <t>أعزب / متزوج-زوجة ربة بيت / متزوج-زوجة تعمل / أرمل / مطلق</t>
  </si>
  <si>
    <t>عدد الأولاد</t>
  </si>
  <si>
    <t>أدخل عدداً صحيحاً</t>
  </si>
  <si>
    <t>فوق 63 سنة؟</t>
  </si>
  <si>
    <t>لا</t>
  </si>
  <si>
    <t>نعم / لا</t>
  </si>
  <si>
    <t>حكومي</t>
  </si>
  <si>
    <t>حكومي / خاص</t>
  </si>
  <si>
    <t>الراتب الاسمي</t>
  </si>
  <si>
    <t>المخصصات الخاضعة للضريبة</t>
  </si>
  <si>
    <t>موقع جغرافي، خدمة جامعية، خطورة، إلخ</t>
  </si>
  <si>
    <t>مخصصات سكن/طعام نقدية</t>
  </si>
  <si>
    <t>تخضع للضريبة بالكامل</t>
  </si>
  <si>
    <t>نوع السكن العيني</t>
  </si>
  <si>
    <t>لا يوجد / مؤثث / غير مؤثث</t>
  </si>
  <si>
    <t>إضافة السكن العيني (محسوبة)</t>
  </si>
  <si>
    <t>الدخل الإجمالي (محسوب)</t>
  </si>
  <si>
    <t>التنزيلات القانونية</t>
  </si>
  <si>
    <t>أقساط التأمين على الحياة</t>
  </si>
  <si>
    <t>الحد الأقصى 166,667 شهرياً (2,000,000 سنوياً)</t>
  </si>
  <si>
    <t>محكوم بها قضائياً ومدفوعة نقداً</t>
  </si>
  <si>
    <t>إعفاء 30% قطاع خاص (محسوب)</t>
  </si>
  <si>
    <t>إجمالي التنزيلات (محسوب)</t>
  </si>
  <si>
    <t>السماحات الشهرية (للمقيمين)</t>
  </si>
  <si>
    <t>السماح الشهري (محسوب)</t>
  </si>
  <si>
    <t>نتائج الضريبة</t>
  </si>
  <si>
    <t>الوعاء الضريبي الصافي (محسوب)</t>
  </si>
  <si>
    <t>الضريبة الشهرية (محسوبة)</t>
  </si>
  <si>
    <t>الضريبة السنوية (محسوبة)</t>
  </si>
  <si>
    <t>صافي الراتب المستلم (محسوب)</t>
  </si>
  <si>
    <t>خاص</t>
  </si>
  <si>
    <t>محمود خضير سلمان</t>
  </si>
  <si>
    <t>خضر هيثم عبدالرضا</t>
  </si>
  <si>
    <t>عبدالله احمد حسين</t>
  </si>
  <si>
    <t>زيد زهير شلال</t>
  </si>
  <si>
    <t>علي باسم رضا</t>
  </si>
  <si>
    <t>حسن احمد صحن</t>
  </si>
  <si>
    <t>محمدباقر عبد زغير</t>
  </si>
  <si>
    <t>محمد سعدون عزاوي</t>
  </si>
  <si>
    <t>علي سعدون حسين</t>
  </si>
  <si>
    <t>يحيى قحطان محمد</t>
  </si>
  <si>
    <t>عبدالرحمن عبدالمنعم حميد</t>
  </si>
  <si>
    <t>أسامة زياد طارق</t>
  </si>
  <si>
    <t>احمد ماجد راهي</t>
  </si>
  <si>
    <t>سبهان كاظم حسين</t>
  </si>
  <si>
    <t>علي ماجد راهي</t>
  </si>
  <si>
    <t>معد عباس فهمي</t>
  </si>
  <si>
    <t>علي صفاء داود</t>
  </si>
  <si>
    <t>مهيمن حسنين علي</t>
  </si>
  <si>
    <t>حذيفة اركان حميد</t>
  </si>
  <si>
    <t>احمد عبدالرزاق عبدالوهاب</t>
  </si>
  <si>
    <t>احمد إبراهيم كريم</t>
  </si>
  <si>
    <t>حيدر عادل غازي</t>
  </si>
  <si>
    <t>ماجد خضير سلمان</t>
  </si>
  <si>
    <t>إبراهيم محمد عيدان</t>
  </si>
  <si>
    <t>صالح احمد عبدالله</t>
  </si>
  <si>
    <t>صفاء حمود عليوي</t>
  </si>
  <si>
    <t>عثمان سعدون حسين</t>
  </si>
  <si>
    <t>عبدالسلام سطام حسين</t>
  </si>
  <si>
    <t>عمر احمد عبدالله</t>
  </si>
  <si>
    <t>مصطفى طالب محمد</t>
  </si>
  <si>
    <t>مهند صباح علي</t>
  </si>
  <si>
    <t>علي احمد خلف</t>
  </si>
  <si>
    <t>احمد مهدي صالح</t>
  </si>
  <si>
    <t>ايمن احمد حسين</t>
  </si>
  <si>
    <t>حسين سعد هادي</t>
  </si>
  <si>
    <t>عدنان سلمان صدام</t>
  </si>
  <si>
    <t>مروان حبيب عبد الله</t>
  </si>
  <si>
    <t>اسعد خضير عباس</t>
  </si>
  <si>
    <t>عبدالله احمد منشد</t>
  </si>
  <si>
    <t>عبد الباري مزهر احمد</t>
  </si>
  <si>
    <t>عبد الملك مزهر احمد</t>
  </si>
  <si>
    <t>عثمان نور الدين عثمان</t>
  </si>
  <si>
    <t>حيدر عبد الرزاق كاظم</t>
  </si>
  <si>
    <t>عمر نهاد حامد</t>
  </si>
  <si>
    <t>سجاد غازي عيدان</t>
  </si>
  <si>
    <t>خضر حامد عبيد</t>
  </si>
  <si>
    <t>علي حيدر عبد الباري</t>
  </si>
  <si>
    <t>سعيد حيدر سعيد</t>
  </si>
  <si>
    <t>عبدالرحمن سمير رافع</t>
  </si>
  <si>
    <t>كرار مدلول علي</t>
  </si>
  <si>
    <t>فيصل علاء فيصل</t>
  </si>
  <si>
    <t>عمر مبارك عبد</t>
  </si>
  <si>
    <t>ابو الحسن علي حسون</t>
  </si>
  <si>
    <t>يعرب احمد خلف</t>
  </si>
  <si>
    <t>متزوج</t>
  </si>
  <si>
    <t>اعزب</t>
  </si>
  <si>
    <t>بلال احمد حسين</t>
  </si>
  <si>
    <t>احمد حميد قاسم</t>
  </si>
  <si>
    <t>علي محمد سهم</t>
  </si>
  <si>
    <t>علي صفاء نوري</t>
  </si>
  <si>
    <t>علي عبد زغير</t>
  </si>
  <si>
    <t>حيدر باسم عبدالزهرة</t>
  </si>
  <si>
    <t>معاذ نزار عيسى</t>
  </si>
  <si>
    <t>مؤمن احمد عبدالرحمن</t>
  </si>
  <si>
    <t>حسن حازم عيدان</t>
  </si>
  <si>
    <t>حبيب احسان بكر</t>
  </si>
  <si>
    <t>عيسى سهام سعدون</t>
  </si>
  <si>
    <t>علي ناصر حسين</t>
  </si>
  <si>
    <t>اكرم حسن علي</t>
  </si>
  <si>
    <t>محمد وليد جليل</t>
  </si>
  <si>
    <t>حيدر عبدالامير احمد</t>
  </si>
  <si>
    <t>إبراهيم اركان إسماعيل</t>
  </si>
  <si>
    <t>كرار حبيب رحيمه</t>
  </si>
  <si>
    <t>عبدالله امجد خلف</t>
  </si>
  <si>
    <t>حسين ناصر حسن</t>
  </si>
  <si>
    <t>احمد فهمي عطيه</t>
  </si>
  <si>
    <t>محمد مهدي صالح</t>
  </si>
  <si>
    <t>لادن عصام احمد</t>
  </si>
  <si>
    <t>عبدالرزاق محمد خميس</t>
  </si>
  <si>
    <t>عبد المجيد عصام احمد</t>
  </si>
  <si>
    <t>مصطفى نجم عبد الله</t>
  </si>
  <si>
    <t>عمر كريم فخري</t>
  </si>
  <si>
    <t>مرتضى جواد كاظم</t>
  </si>
  <si>
    <t>مصطفى احمد سلمان</t>
  </si>
  <si>
    <t>احمد حاتم دخن</t>
  </si>
  <si>
    <t>حمزه علي داود</t>
  </si>
  <si>
    <t>بشار قحطان خليل</t>
  </si>
  <si>
    <t>جاسم محمد مياط</t>
  </si>
  <si>
    <t>شمس الدين هيثم رعد</t>
  </si>
  <si>
    <t>شمس الدين رعد</t>
  </si>
  <si>
    <t>Total</t>
  </si>
  <si>
    <t>رقم :</t>
  </si>
  <si>
    <t>إعفاء 30%
قطاع خاص (IQD)    ١ ب</t>
  </si>
  <si>
    <t>مخصصات  سكن/طعام
نقدي (IQD)</t>
  </si>
  <si>
    <t>ولد دون ١٨ \ بنت غير متزوجه. ١</t>
  </si>
  <si>
    <t>ولد دون ١٨ \ بنت غير متزوجه. ٢</t>
  </si>
  <si>
    <t>ولد دون ١٨ \ بنت غير متزوجه. ٣</t>
  </si>
  <si>
    <t>ولد دون ١٨ \ بنت غير متزوجه. ٤</t>
  </si>
  <si>
    <t>ولد دون ١٨ \ بنت غير متزوجه. ٥</t>
  </si>
  <si>
    <t>ولد دون ١٨ \ بنت غير متزوجه. ٦</t>
  </si>
  <si>
    <t xml:space="preserve">الراتب الاسمي  السنوي  </t>
  </si>
  <si>
    <t>الدخل الإجمالي
(IQD) سنوي</t>
  </si>
  <si>
    <t>إعفاء 30%
قطاع خاص (IQD)   سنوي</t>
  </si>
  <si>
    <t>نفقة شرعية
(IQD) سنوي</t>
  </si>
  <si>
    <t>إجمالي
التنزيلات (IQD) سنوي</t>
  </si>
  <si>
    <t>السماح الشهري
(IQD). سنوي</t>
  </si>
  <si>
    <t>مخصصات خاضعة. سنوي</t>
  </si>
  <si>
    <t>مخصصات سكن/طعام
نقدي (IQD) سنوي</t>
  </si>
  <si>
    <t>إضافة السكن
العيني (IQD) سنوي</t>
  </si>
  <si>
    <t>الوعاء الضريبي
الصافي (IQD) سنوي</t>
  </si>
  <si>
    <t>الحركه</t>
  </si>
  <si>
    <t xml:space="preserve">تاريخ  ‏البدء </t>
  </si>
  <si>
    <t xml:space="preserve">‏تاريخ الترك </t>
  </si>
  <si>
    <t xml:space="preserve"> ‏عدد الأشهر </t>
  </si>
  <si>
    <t>ترك</t>
  </si>
  <si>
    <t>توقيفات
تقاعدية (IQD)  سنوي</t>
  </si>
  <si>
    <t>تأمين حياة
 (IQD) سنوي</t>
  </si>
  <si>
    <t>تأمين حياة
 (IQD) سنوي + نفقة شرعية
(IQD) سنوي</t>
  </si>
  <si>
    <t xml:space="preserve">تاريخ الميلاد </t>
  </si>
  <si>
    <t>الجنسية</t>
  </si>
  <si>
    <t>رقم الهوية الأحوال المدنية للمنتسب</t>
  </si>
  <si>
    <t xml:space="preserve">اسم صاحب العمل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</si>
</sst>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IQD&quot;;\(#,##0&quot; IQD)&quot;;\-"/>
    <numFmt numFmtId="165" formatCode="#,##0;\(#,##0\);\-"/>
    <numFmt numFmtId="166" formatCode="yyyy\-mm\-dd;@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FF"/>
      <name val="Arial"/>
      <family val="2"/>
    </font>
    <font>
      <sz val="10"/>
      <color rgb="FF007000"/>
      <name val="Arial"/>
      <family val="2"/>
    </font>
    <font>
      <b/>
      <sz val="9"/>
      <color rgb="FF7D6608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F3864"/>
      <name val="Arial"/>
      <family val="2"/>
    </font>
    <font>
      <sz val="8"/>
      <color rgb="FF566573"/>
      <name val="Arial"/>
      <family val="2"/>
    </font>
    <font>
      <sz val="11"/>
      <color rgb="FF0070C0"/>
      <name val="Calibri"/>
      <family val="2"/>
      <scheme val="minor"/>
    </font>
    <font>
      <sz val="11"/>
      <color rgb="FF92D050"/>
      <name val="Calibri"/>
      <family val="2"/>
      <scheme val="minor"/>
    </font>
    <font>
      <sz val="8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EF9E7"/>
      </patternFill>
    </fill>
    <fill>
      <patternFill patternType="solid">
        <fgColor rgb="FFD6E4F0"/>
        <bgColor rgb="FFD6EAF8"/>
      </patternFill>
    </fill>
    <fill>
      <patternFill patternType="solid">
        <fgColor rgb="FFEBF5FB"/>
        <bgColor rgb="FFE9F7EF"/>
      </patternFill>
    </fill>
    <fill>
      <patternFill patternType="solid">
        <fgColor rgb="FFE9F7EF"/>
        <bgColor rgb="FFEBF5FB"/>
      </patternFill>
    </fill>
    <fill>
      <patternFill patternType="solid">
        <fgColor rgb="FFFEF9E7"/>
        <bgColor rgb="FFFFFFFF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6E4F0"/>
      </patternFill>
    </fill>
    <fill>
      <patternFill patternType="solid">
        <fgColor rgb="FFFCF3CF"/>
        <bgColor rgb="FFFEF9E7"/>
      </patternFill>
    </fill>
    <fill>
      <patternFill patternType="solid">
        <fgColor rgb="FFFADBD8"/>
        <bgColor rgb="FFFCF3C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0066CC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65" fontId="4" fillId="9" borderId="2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165" fontId="4" fillId="10" borderId="2" xfId="0" applyNumberFormat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165" fontId="4" fillId="11" borderId="2" xfId="0" applyNumberFormat="1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65" fontId="4" fillId="12" borderId="2" xfId="0" applyNumberFormat="1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164" fontId="4" fillId="7" borderId="2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14" fillId="13" borderId="0" xfId="0" applyFont="1" applyFill="1"/>
    <xf numFmtId="0" fontId="15" fillId="13" borderId="0" xfId="0" applyFont="1" applyFill="1"/>
    <xf numFmtId="0" fontId="0" fillId="13" borderId="0" xfId="0" applyFill="1"/>
    <xf numFmtId="0" fontId="3" fillId="6" borderId="3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right" vertical="center"/>
    </xf>
    <xf numFmtId="0" fontId="7" fillId="6" borderId="9" xfId="0" applyFont="1" applyFill="1" applyBorder="1" applyAlignment="1">
      <alignment horizontal="right" vertical="center"/>
    </xf>
    <xf numFmtId="164" fontId="7" fillId="4" borderId="9" xfId="0" applyNumberFormat="1" applyFont="1" applyFill="1" applyBorder="1" applyAlignment="1">
      <alignment horizontal="right" vertical="center"/>
    </xf>
    <xf numFmtId="0" fontId="7" fillId="4" borderId="9" xfId="0" applyFont="1" applyFill="1" applyBorder="1" applyAlignment="1">
      <alignment horizontal="right" vertical="center"/>
    </xf>
    <xf numFmtId="164" fontId="8" fillId="7" borderId="9" xfId="0" applyNumberFormat="1" applyFont="1" applyFill="1" applyBorder="1" applyAlignment="1">
      <alignment horizontal="right" vertical="center"/>
    </xf>
    <xf numFmtId="164" fontId="8" fillId="7" borderId="8" xfId="0" applyNumberFormat="1" applyFont="1" applyFill="1" applyBorder="1" applyAlignment="1">
      <alignment horizontal="right" vertical="center"/>
    </xf>
    <xf numFmtId="0" fontId="4" fillId="4" borderId="9" xfId="0" applyFont="1" applyFill="1" applyBorder="1" applyAlignment="1">
      <alignment horizontal="right" vertical="center"/>
    </xf>
    <xf numFmtId="0" fontId="4" fillId="6" borderId="9" xfId="0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 wrapText="1"/>
    </xf>
    <xf numFmtId="0" fontId="0" fillId="0" borderId="7" xfId="0" applyBorder="1"/>
    <xf numFmtId="0" fontId="6" fillId="14" borderId="5" xfId="0" applyFont="1" applyFill="1" applyBorder="1" applyAlignment="1">
      <alignment horizontal="center" vertical="center" wrapText="1"/>
    </xf>
    <xf numFmtId="166" fontId="7" fillId="6" borderId="2" xfId="0" applyNumberFormat="1" applyFont="1" applyFill="1" applyBorder="1" applyAlignment="1">
      <alignment horizontal="right" vertical="center"/>
    </xf>
    <xf numFmtId="166" fontId="7" fillId="4" borderId="2" xfId="0" applyNumberFormat="1" applyFont="1" applyFill="1" applyBorder="1" applyAlignment="1">
      <alignment horizontal="right" vertical="center"/>
    </xf>
    <xf numFmtId="166" fontId="7" fillId="4" borderId="8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94">
    <dxf>
      <border diagonalUp="0" diagonalDown="0">
        <left/>
        <right/>
        <top style="thin">
          <color rgb="FFBFBFBF"/>
        </top>
        <bottom/>
      </border>
    </dxf>
    <dxf>
      <border diagonalUp="0" diagonalDown="0">
        <left/>
        <right/>
        <top style="thin">
          <color rgb="FFBFBFBF"/>
        </top>
        <bottom/>
      </border>
    </dxf>
    <dxf>
      <border diagonalUp="0" diagonalDown="0">
        <left/>
        <right/>
        <top style="thin">
          <color rgb="FFBFBFBF"/>
        </top>
        <bottom/>
      </border>
    </dxf>
    <dxf>
      <border diagonalUp="0" diagonalDown="0">
        <left/>
        <right/>
        <top style="thin">
          <color rgb="FFBFBFBF"/>
        </top>
        <bottom/>
      </border>
    </dxf>
    <dxf>
      <numFmt numFmtId="0" formatCode="General"/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border diagonalUp="0" diagonalDown="0" outline="0">
        <left/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00"/>
        <name val="Arial"/>
        <family val="2"/>
        <scheme val="none"/>
      </font>
      <numFmt numFmtId="164" formatCode="#,##0&quot; IQD&quot;;\(#,##0&quot; IQD)&quot;;\-"/>
      <fill>
        <patternFill patternType="solid">
          <fgColor rgb="FFEBF5FB"/>
          <bgColor rgb="FFE9F7E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00"/>
        <name val="Arial"/>
        <family val="2"/>
        <scheme val="none"/>
      </font>
      <fill>
        <patternFill patternType="solid">
          <fgColor rgb="FFEBF5FB"/>
          <bgColor rgb="FFE9F7E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00"/>
        <name val="Arial"/>
        <family val="2"/>
        <scheme val="none"/>
      </font>
      <numFmt numFmtId="164" formatCode="#,##0&quot; IQD&quot;;\(#,##0&quot; IQD)&quot;;\-"/>
      <fill>
        <patternFill patternType="solid">
          <fgColor rgb="FFEBF5FB"/>
          <bgColor rgb="FFE9F7E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6" formatCode="yyyy\-mm\-dd;@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6" formatCode="yyyy\-mm\-dd;@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3864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BFBFBF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00"/>
        <name val="Arial"/>
        <family val="2"/>
        <scheme val="none"/>
      </font>
      <numFmt numFmtId="164" formatCode="#,##0&quot; IQD&quot;;\(#,##0&quot; IQD)&quot;;\-"/>
      <fill>
        <patternFill patternType="solid">
          <fgColor rgb="FFEBF5FB"/>
          <bgColor rgb="FFE9F7E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00"/>
        <name val="Arial"/>
        <family val="2"/>
        <scheme val="none"/>
      </font>
      <numFmt numFmtId="164" formatCode="#,##0&quot; IQD&quot;;\(#,##0&quot; IQD)&quot;;\-"/>
      <fill>
        <patternFill patternType="solid">
          <fgColor rgb="FFEBF5FB"/>
          <bgColor rgb="FFE9F7E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00"/>
        <name val="Arial"/>
        <family val="2"/>
        <scheme val="none"/>
      </font>
      <numFmt numFmtId="164" formatCode="#,##0&quot; IQD&quot;;\(#,##0&quot; IQD)&quot;;\-"/>
      <fill>
        <patternFill patternType="solid">
          <fgColor rgb="FFEBF5FB"/>
          <bgColor rgb="FFE9F7E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#,##0&quot; IQD&quot;;\(#,##0&quot; IQD)&quot;;\-"/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&quot; IQD&quot;;\(#,##0&quot; IQD)&quot;;\-"/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#,##0&quot; IQD&quot;;\(#,##0&quot; IQD)&quot;;\-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9F7EF"/>
          <bgColor rgb="FFEBF5FB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0" formatCode="General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6" formatCode="yyyy\-mm\-dd;@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6" formatCode="yyyy\-mm\-dd;@"/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3864"/>
        <name val="Arial"/>
        <family val="2"/>
        <scheme val="none"/>
      </font>
      <fill>
        <patternFill patternType="solid">
          <fgColor rgb="FFFEF9E7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00"/>
      <rgbColor rgb="FF000080"/>
      <rgbColor rgb="FF7D6608"/>
      <rgbColor rgb="FF800080"/>
      <rgbColor rgb="FF117A65"/>
      <rgbColor rgb="FFBFBFBF"/>
      <rgbColor rgb="FF808080"/>
      <rgbColor rgb="FF9999FF"/>
      <rgbColor rgb="FF7D3C98"/>
      <rgbColor rgb="FFFCF3CF"/>
      <rgbColor rgb="FFD6EA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EF9E7"/>
      <rgbColor rgb="FFEBF5FB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66573"/>
      <rgbColor rgb="FF969696"/>
      <rgbColor rgb="FF1F3864"/>
      <rgbColor rgb="FF1E8449"/>
      <rgbColor rgb="FF003300"/>
      <rgbColor rgb="FF333300"/>
      <rgbColor rgb="FF993300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29151-F1EC-442D-9968-9A3B0D661B48}" name="Table1" displayName="Table1" ref="A1:AX21" totalsRowCount="1" headerRowDxfId="93" headerRowBorderDxfId="92" tableBorderDxfId="91" totalsRowBorderDxfId="90">
  <autoFilter ref="A1:AX20" xr:uid="{EFE29151-F1EC-442D-9968-9A3B0D661B48}"/>
  <tableColumns count="50">
    <tableColumn id="1" xr3:uid="{0C3C3377-DF77-4673-9D4E-AAB58054A08F}" name="#" totalsRowLabel="Total" dataDxfId="89" totalsRowDxfId="50"/>
    <tableColumn id="2" xr3:uid="{ECE6902A-1792-4F6B-AC1C-43400CE4B0F6}" name="الاسم الثلاثي" dataDxfId="88" totalsRowDxfId="49"/>
    <tableColumn id="46" xr3:uid="{7B071527-0102-2F4D-8DC7-CFB6FA054FC6}" name="الحركه" dataDxfId="87" totalsRowDxfId="48"/>
    <tableColumn id="47" xr3:uid="{06C712AD-31FD-DD4B-8FAD-854CC86DD911}" name="تاريخ  ‏البدء " dataDxfId="86" totalsRowDxfId="47"/>
    <tableColumn id="48" xr3:uid="{E7E537B8-B90D-624C-95D4-BDA280B84B35}" name="‏تاريخ الترك " dataDxfId="85" totalsRowDxfId="46"/>
    <tableColumn id="49" xr3:uid="{CB96F6C0-FFE3-E142-95CF-D4E44360A9CC}" name=" ‏عدد الأشهر " dataDxfId="84" totalsRowDxfId="45">
      <calculatedColumnFormula>IF(C2="ترك",DATEDIF(D2,E2,"m"),DATEDIF(D2,E2,"m")+1)</calculatedColumnFormula>
    </tableColumn>
    <tableColumn id="3" xr3:uid="{CDF6EDA2-8ABD-470C-87BA-1A4D52E6A623}" name="حالة الإقامة_x000a_(مقيم/غير مقيم)" dataDxfId="83" totalsRowDxfId="44"/>
    <tableColumn id="4" xr3:uid="{B7F868EC-8DA2-4409-9FC3-6C0FB29B72A4}" name="الحالة الاجتماعية" dataDxfId="82" totalsRowDxfId="43"/>
    <tableColumn id="5" xr3:uid="{E0D5A56D-C90F-4E91-BC9B-BEB9D88CBA3E}" name="عدد_x000a_الأولاد" dataDxfId="81" totalsRowDxfId="42"/>
    <tableColumn id="6" xr3:uid="{95A54633-C4C2-47E2-9DF2-67B1D82D4FD0}" name="فوق_x000a_63 سنة؟" dataDxfId="80" totalsRowDxfId="41"/>
    <tableColumn id="7" xr3:uid="{43AE8D18-CC2F-472F-9E4F-92232DF8920A}" name="القطاع_x000a_(حكومي/خاص)" dataDxfId="79" totalsRowDxfId="40"/>
    <tableColumn id="8" xr3:uid="{CC7288B6-9361-4408-8C19-B242A1739981}" name="الراتب الاسمي_x000a_(IQD)" totalsRowFunction="sum" dataDxfId="78" totalsRowDxfId="39"/>
    <tableColumn id="9" xr3:uid="{A53D58B0-D510-4791-A7A9-033F4BF0A75C}" name="مخصصات خاضعة_x000a_(IQD)" dataDxfId="77" totalsRowDxfId="38"/>
    <tableColumn id="10" xr3:uid="{3B990491-AF89-4EB7-A283-42C517F42535}" name="مخصصات  سكن/طعام_x000a_نقدي (IQD)" dataDxfId="76" totalsRowDxfId="37"/>
    <tableColumn id="11" xr3:uid="{09BB0C58-4006-49CA-B982-D45AD31AC347}" name="نوع السكن_x000a_العيني" dataDxfId="75" totalsRowDxfId="36"/>
    <tableColumn id="12" xr3:uid="{0219D6CC-E496-467E-961A-D407ADC24AEC}" name="إضافة السكن_x000a_العيني (IQD)" dataDxfId="74" totalsRowDxfId="35">
      <calculatedColumnFormula>IF(O2="مؤثث",L2*0.2,IF(O2="غير مؤثث",L2*0.1,0))</calculatedColumnFormula>
    </tableColumn>
    <tableColumn id="13" xr3:uid="{568A2AA4-DF63-45F6-A268-BC3A5007DDA7}" name="الدخل الإجمالي_x000a_(IQD)" dataDxfId="73" totalsRowDxfId="34">
      <calculatedColumnFormula>L2+M2+N2+P2</calculatedColumnFormula>
    </tableColumn>
    <tableColumn id="14" xr3:uid="{2F083C99-41CB-4A70-824E-E001C1E1F412}" name="إعفاء 30%_x000a_قطاع خاص (IQD)    ١ ب" dataDxfId="72" totalsRowDxfId="33">
      <calculatedColumnFormula>IF(K2="خاص",MIN(N2+M2,L2*0.3),0)</calculatedColumnFormula>
    </tableColumn>
    <tableColumn id="15" xr3:uid="{72BF5EA5-1B7A-4C67-AEC2-E551A92121EE}" name="توقيفات_x000a_تقاعدية (IQD)" dataDxfId="71" totalsRowDxfId="32">
      <calculatedColumnFormula>IF(Table1[[#This Row],[الراتب الاسمي
(IQD)]]&lt;1750000,L2*5%,1750000*5%)</calculatedColumnFormula>
    </tableColumn>
    <tableColumn id="16" xr3:uid="{6CA7BFB5-10D3-42DE-905D-E8DF6F344789}" name="تأمين حياة_x000a_شهري (IQD)" dataDxfId="70" totalsRowDxfId="31"/>
    <tableColumn id="17" xr3:uid="{8D8B18C4-9357-4ABB-8E02-35E22F8B164C}" name="نفقة شرعية_x000a_(IQD)" dataDxfId="69" totalsRowDxfId="30"/>
    <tableColumn id="18" xr3:uid="{22591F37-9CD5-4967-B881-24F2FB66F721}" name="إجمالي_x000a_التنزيلات (IQD)" dataDxfId="68" totalsRowDxfId="29">
      <calculatedColumnFormula>R2+S2+MIN(T2,166667)+U2</calculatedColumnFormula>
    </tableColumn>
    <tableColumn id="19" xr3:uid="{48D47564-7FA8-4603-ACC7-A3D02F9501FC}" name="السماح الشهري_x000a_(IQD)" dataDxfId="67" totalsRowDxfId="28">
      <calculatedColumnFormula>IF(G2="غير مقيم",0,IF(H2="متزوج",4500000/12,IF(OR(H2="أرمل",H2="مطلق"),3200000/12,2500000/12))+IF(ISNUMBER(I2),I2,0)*200000/12+IF(J2="نعم",300000/12,0))</calculatedColumnFormula>
    </tableColumn>
    <tableColumn id="20" xr3:uid="{9955ED66-5831-4617-A87E-FF0456027BCD}" name="الوعاء الضريبي_x000a_الصافي (IQD)" dataDxfId="66" totalsRowDxfId="27">
      <calculatedColumnFormula>MAX(0,Q2-V2-W2)</calculatedColumnFormula>
    </tableColumn>
    <tableColumn id="21" xr3:uid="{6D02460C-D3FE-4BA3-8C44-663506BBDFF8}" name="الضريبة_x000a_الشهرية (IQD)" totalsRowFunction="sum" dataDxfId="65" totalsRowDxfId="26">
      <calculatedColumnFormula>IF(X2&lt;=0,0,IF(X2&lt;=20833,X2*0.03,IF(X2&lt;=41667,20833*0.03+(X2-20833)*0.05,IF(X2&lt;=83333,20833*0.03+20834*0.05+(X2-41667)*0.1,20833*0.03+20834*0.05+41666*0.1+(X2-83333)*0.15))))</calculatedColumnFormula>
    </tableColumn>
    <tableColumn id="22" xr3:uid="{29F94466-70B1-4E8C-886C-5FD9EE32E788}" name="الضريبة_x000a_السنوية (IQD)" dataDxfId="64" totalsRowDxfId="25">
      <calculatedColumnFormula>Y2*12</calculatedColumnFormula>
    </tableColumn>
    <tableColumn id="23" xr3:uid="{6CB3FC20-75BA-4B9E-AFFD-4E12F277CF74}" name="صافي الراتب_x000a_المستلم (IQD)" totalsRowFunction="sum" dataDxfId="63" totalsRowDxfId="24">
      <calculatedColumnFormula>Q2-Y2-S2</calculatedColumnFormula>
    </tableColumn>
    <tableColumn id="24" xr3:uid="{EB37B237-18AA-4845-A573-4049796B65BA}" name="الراتب الاسمي  السنوي  " dataDxfId="62" totalsRowDxfId="23">
      <calculatedColumnFormula>Table1[[#This Row],[الراتب الاسمي
(IQD)]]*Table1[[#This Row],[ ‏عدد الأشهر ]]</calculatedColumnFormula>
    </tableColumn>
    <tableColumn id="25" xr3:uid="{A20CF193-7117-A14A-BCB8-4686471865B1}" name="مخصصات خاضعة. سنوي" dataDxfId="61" totalsRowDxfId="22">
      <calculatedColumnFormula>Table1[[#This Row],[مخصصات خاضعة
(IQD)]]*Table1[[#This Row],[ ‏عدد الأشهر ]]</calculatedColumnFormula>
    </tableColumn>
    <tableColumn id="26" xr3:uid="{45465DAE-5CCE-8E4C-9EC2-0D927798096F}" name="مخصصات سكن/طعام_x000a_نقدي (IQD) سنوي" dataDxfId="60" totalsRowDxfId="21">
      <calculatedColumnFormula>Table1[[#This Row],[مخصصات  سكن/طعام
نقدي (IQD)]]*Table1[[#This Row],[ ‏عدد الأشهر ]]</calculatedColumnFormula>
    </tableColumn>
    <tableColumn id="27" xr3:uid="{8E4F258A-FC67-D24A-8801-A05A6670D789}" name="إضافة السكن_x000a_العيني (IQD) سنوي" dataDxfId="59" totalsRowDxfId="20">
      <calculatedColumnFormula>Table1[[#This Row],[إضافة السكن
العيني (IQD)]]*Table1[[#This Row],[ ‏عدد الأشهر ]]</calculatedColumnFormula>
    </tableColumn>
    <tableColumn id="28" xr3:uid="{C86D31B3-0306-DC4E-8824-1CB215654A72}" name="الدخل الإجمالي_x000a_(IQD) سنوي" dataDxfId="58" totalsRowDxfId="19">
      <calculatedColumnFormula>Table1[[#This Row],[الدخل الإجمالي
(IQD)]]*Table1[[#This Row],[ ‏عدد الأشهر ]]</calculatedColumnFormula>
    </tableColumn>
    <tableColumn id="29" xr3:uid="{273078B1-42F5-4B4A-AA4D-91CF83C5A516}" name="إعفاء 30%_x000a_قطاع خاص (IQD)   سنوي" dataDxfId="57" totalsRowDxfId="18">
      <calculatedColumnFormula>Table1[[#This Row],[إعفاء 30%
قطاع خاص (IQD)    ١ ب]]*Table1[[#This Row],[ ‏عدد الأشهر ]]</calculatedColumnFormula>
    </tableColumn>
    <tableColumn id="30" xr3:uid="{4B087617-928A-CB40-AFD3-2D4A63CB1DDA}" name="توقيفات_x000a_تقاعدية (IQD)  سنوي" dataDxfId="56" totalsRowDxfId="17">
      <calculatedColumnFormula>Table1[[#This Row],[توقيفات
تقاعدية (IQD)]]*Table1[[#This Row],[ ‏عدد الأشهر ]]</calculatedColumnFormula>
    </tableColumn>
    <tableColumn id="31" xr3:uid="{E4A10778-8523-484C-9325-738FF6B373CD}" name="تأمين حياة_x000a_ (IQD) سنوي" dataDxfId="55" totalsRowDxfId="16">
      <calculatedColumnFormula>Table1[[#This Row],[تأمين حياة
شهري (IQD)]]*Table1[[#This Row],[ ‏عدد الأشهر ]]</calculatedColumnFormula>
    </tableColumn>
    <tableColumn id="32" xr3:uid="{A5431590-5677-6849-958D-2498C39CB071}" name="نفقة شرعية_x000a_(IQD) سنوي" dataDxfId="54" totalsRowDxfId="15">
      <calculatedColumnFormula>Table1[[#This Row],[نفقة شرعية
(IQD)]]*Table1[[#This Row],[ ‏عدد الأشهر ]]</calculatedColumnFormula>
    </tableColumn>
    <tableColumn id="42" xr3:uid="{5D14D4FA-BFB1-41B8-BA09-E5B2F15559AD}" name="تأمين حياة_x000a_ (IQD) سنوي + نفقة شرعية_x000a_(IQD) سنوي" dataDxfId="4" totalsRowDxfId="5">
      <calculatedColumnFormula>Table1[[#This Row],[تأمين حياة
 (IQD) سنوي]]+Table1[[#This Row],[نفقة شرعية
(IQD) سنوي]]</calculatedColumnFormula>
    </tableColumn>
    <tableColumn id="33" xr3:uid="{BBE299C2-7CCF-9441-927F-B935EC5C3128}" name="إجمالي_x000a_التنزيلات (IQD) سنوي" dataDxfId="53" totalsRowDxfId="14">
      <calculatedColumnFormula>Table1[[#This Row],[إجمالي
التنزيلات (IQD)]]*Table1[[#This Row],[ ‏عدد الأشهر ]]</calculatedColumnFormula>
    </tableColumn>
    <tableColumn id="34" xr3:uid="{DCC5E0CF-07BF-B44D-96FF-2FC9C4409393}" name="السماح الشهري_x000a_(IQD). سنوي" dataDxfId="52" totalsRowDxfId="13">
      <calculatedColumnFormula>Table1[[#This Row],[السماح الشهري
(IQD)]]*Table1[[#This Row],[ ‏عدد الأشهر ]]</calculatedColumnFormula>
    </tableColumn>
    <tableColumn id="35" xr3:uid="{A6B150E5-0D7C-5C48-883A-3934C87881EE}" name="الوعاء الضريبي_x000a_الصافي (IQD) سنوي" dataDxfId="51" totalsRowDxfId="12">
      <calculatedColumnFormula>Table1[[#This Row],[الوعاء الضريبي
الصافي (IQD)]]*Table1[[#This Row],[ ‏عدد الأشهر ]]</calculatedColumnFormula>
    </tableColumn>
    <tableColumn id="36" xr3:uid="{69A67205-6C56-A548-AEBC-8B9E6997420B}" name="ولد دون ١٨ \ بنت غير متزوجه. ١" totalsRowDxfId="11"/>
    <tableColumn id="37" xr3:uid="{ACD67915-3950-6243-BE54-05839973B338}" name="ولد دون ١٨ \ بنت غير متزوجه. ٢" totalsRowDxfId="10"/>
    <tableColumn id="38" xr3:uid="{99ACBEB3-B537-7149-9519-E708DD790916}" name="ولد دون ١٨ \ بنت غير متزوجه. ٣" totalsRowDxfId="9"/>
    <tableColumn id="39" xr3:uid="{729A0333-1A7F-5446-8BF0-D4881B3ED3CB}" name="ولد دون ١٨ \ بنت غير متزوجه. ٤" totalsRowDxfId="8"/>
    <tableColumn id="40" xr3:uid="{64EB0881-5618-1F4B-85E1-1554A4C57316}" name="ولد دون ١٨ \ بنت غير متزوجه. ٥" totalsRowDxfId="7"/>
    <tableColumn id="41" xr3:uid="{0DCBF4C3-13E2-244C-888E-271B6481CDB0}" name="ولد دون ١٨ \ بنت غير متزوجه. ٦" totalsRowDxfId="6"/>
    <tableColumn id="51" xr3:uid="{8CF3F0AA-4372-4CDF-A63C-88B6C17C266D}" name="تاريخ الميلاد " totalsRowDxfId="3"/>
    <tableColumn id="52" xr3:uid="{90B9E765-7BAE-4852-8CF6-EC08EDCAFC96}" name="الجنسية" totalsRowDxfId="2"/>
    <tableColumn id="53" xr3:uid="{CF16E3D4-E73B-4785-B066-16178C6D3205}" name="رقم الهوية الأحوال المدنية للمنتسب" totalsRowDxfId="1"/>
    <tableColumn id="54" xr3:uid="{8B41E69C-037E-410B-AFD0-7AF6D3286380}" name="اسم صاحب العمل 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rightToLeft="1" zoomScaleNormal="100" workbookViewId="0">
      <selection activeCell="B4" sqref="B4:F4"/>
    </sheetView>
  </sheetViews>
  <sheetFormatPr defaultColWidth="8.6640625" defaultRowHeight="14.4" x14ac:dyDescent="0.3"/>
  <cols>
    <col min="1" max="1" width="30" customWidth="1"/>
    <col min="2" max="2" width="80" customWidth="1"/>
    <col min="3" max="6" width="5" customWidth="1"/>
  </cols>
  <sheetData>
    <row r="1" spans="1:6" ht="39.75" customHeight="1" x14ac:dyDescent="0.3">
      <c r="A1" s="55" t="s">
        <v>0</v>
      </c>
      <c r="B1" s="55"/>
      <c r="C1" s="55"/>
      <c r="D1" s="55"/>
      <c r="E1" s="55"/>
      <c r="F1" s="55"/>
    </row>
    <row r="2" spans="1:6" ht="24.75" customHeight="1" x14ac:dyDescent="0.3">
      <c r="A2" s="56" t="s">
        <v>1</v>
      </c>
      <c r="B2" s="56"/>
      <c r="C2" s="56"/>
      <c r="D2" s="56"/>
      <c r="E2" s="56"/>
      <c r="F2" s="56"/>
    </row>
    <row r="3" spans="1:6" ht="21.75" customHeight="1" x14ac:dyDescent="0.3">
      <c r="A3" s="1" t="s">
        <v>2</v>
      </c>
      <c r="B3" s="57" t="s">
        <v>3</v>
      </c>
      <c r="C3" s="57"/>
      <c r="D3" s="57"/>
      <c r="E3" s="57"/>
      <c r="F3" s="57"/>
    </row>
    <row r="4" spans="1:6" ht="21.75" customHeight="1" x14ac:dyDescent="0.3">
      <c r="A4" s="2" t="s">
        <v>4</v>
      </c>
      <c r="B4" s="58" t="s">
        <v>5</v>
      </c>
      <c r="C4" s="58"/>
      <c r="D4" s="58"/>
      <c r="E4" s="58"/>
      <c r="F4" s="58"/>
    </row>
    <row r="5" spans="1:6" ht="21.75" customHeight="1" x14ac:dyDescent="0.3">
      <c r="A5" s="1" t="s">
        <v>6</v>
      </c>
      <c r="B5" s="57" t="s">
        <v>7</v>
      </c>
      <c r="C5" s="57"/>
      <c r="D5" s="57"/>
      <c r="E5" s="57"/>
      <c r="F5" s="57"/>
    </row>
    <row r="6" spans="1:6" ht="21.75" customHeight="1" x14ac:dyDescent="0.3">
      <c r="A6" s="2" t="s">
        <v>8</v>
      </c>
      <c r="B6" s="58" t="s">
        <v>9</v>
      </c>
      <c r="C6" s="58"/>
      <c r="D6" s="58"/>
      <c r="E6" s="58"/>
      <c r="F6" s="58"/>
    </row>
    <row r="7" spans="1:6" ht="21.75" customHeight="1" x14ac:dyDescent="0.3">
      <c r="A7" s="1" t="s">
        <v>10</v>
      </c>
      <c r="B7" s="57" t="s">
        <v>11</v>
      </c>
      <c r="C7" s="57"/>
      <c r="D7" s="57"/>
      <c r="E7" s="57"/>
      <c r="F7" s="57"/>
    </row>
    <row r="8" spans="1:6" ht="21.75" customHeight="1" x14ac:dyDescent="0.3">
      <c r="A8" s="2" t="s">
        <v>12</v>
      </c>
      <c r="B8" s="58" t="s">
        <v>13</v>
      </c>
      <c r="C8" s="58"/>
      <c r="D8" s="58"/>
      <c r="E8" s="58"/>
      <c r="F8" s="58"/>
    </row>
    <row r="9" spans="1:6" ht="21.75" customHeight="1" x14ac:dyDescent="0.3">
      <c r="A9" s="1" t="s">
        <v>14</v>
      </c>
      <c r="B9" s="57" t="s">
        <v>15</v>
      </c>
      <c r="C9" s="57"/>
      <c r="D9" s="57"/>
      <c r="E9" s="57"/>
      <c r="F9" s="57"/>
    </row>
    <row r="10" spans="1:6" ht="21.75" customHeight="1" x14ac:dyDescent="0.3">
      <c r="A10" s="2" t="s">
        <v>16</v>
      </c>
      <c r="B10" s="58" t="s">
        <v>17</v>
      </c>
      <c r="C10" s="58"/>
      <c r="D10" s="58"/>
      <c r="E10" s="58"/>
      <c r="F10" s="58"/>
    </row>
    <row r="11" spans="1:6" ht="21.75" customHeight="1" x14ac:dyDescent="0.3">
      <c r="A11" s="1" t="s">
        <v>18</v>
      </c>
      <c r="B11" s="57" t="s">
        <v>19</v>
      </c>
      <c r="C11" s="57"/>
      <c r="D11" s="57"/>
      <c r="E11" s="57"/>
      <c r="F11" s="57"/>
    </row>
    <row r="12" spans="1:6" ht="21.75" customHeight="1" x14ac:dyDescent="0.3">
      <c r="A12" s="2" t="s">
        <v>20</v>
      </c>
      <c r="B12" s="58" t="s">
        <v>21</v>
      </c>
      <c r="C12" s="58"/>
      <c r="D12" s="58"/>
      <c r="E12" s="58"/>
      <c r="F12" s="58"/>
    </row>
    <row r="13" spans="1:6" ht="21.75" customHeight="1" x14ac:dyDescent="0.3">
      <c r="A13" s="1" t="s">
        <v>22</v>
      </c>
      <c r="B13" s="57" t="s">
        <v>23</v>
      </c>
      <c r="C13" s="57"/>
      <c r="D13" s="57"/>
      <c r="E13" s="57"/>
      <c r="F13" s="57"/>
    </row>
    <row r="14" spans="1:6" ht="21.75" customHeight="1" x14ac:dyDescent="0.3">
      <c r="A14" s="2" t="s">
        <v>24</v>
      </c>
      <c r="B14" s="58" t="s">
        <v>25</v>
      </c>
      <c r="C14" s="58"/>
      <c r="D14" s="58"/>
      <c r="E14" s="58"/>
      <c r="F14" s="58"/>
    </row>
    <row r="15" spans="1:6" ht="21.75" customHeight="1" x14ac:dyDescent="0.3">
      <c r="A15" s="1" t="s">
        <v>26</v>
      </c>
      <c r="B15" s="57" t="s">
        <v>27</v>
      </c>
      <c r="C15" s="57"/>
      <c r="D15" s="57"/>
      <c r="E15" s="57"/>
      <c r="F15" s="57"/>
    </row>
    <row r="16" spans="1:6" ht="21.75" customHeight="1" x14ac:dyDescent="0.3">
      <c r="A16" s="2" t="s">
        <v>28</v>
      </c>
      <c r="B16" s="58" t="s">
        <v>29</v>
      </c>
      <c r="C16" s="58"/>
      <c r="D16" s="58"/>
      <c r="E16" s="58"/>
      <c r="F16" s="58"/>
    </row>
    <row r="17" spans="1:6" ht="21.75" customHeight="1" x14ac:dyDescent="0.3">
      <c r="A17" s="1" t="s">
        <v>30</v>
      </c>
      <c r="B17" s="57" t="s">
        <v>31</v>
      </c>
      <c r="C17" s="57"/>
      <c r="D17" s="57"/>
      <c r="E17" s="57"/>
      <c r="F17" s="57"/>
    </row>
    <row r="18" spans="1:6" ht="21.75" customHeight="1" x14ac:dyDescent="0.3">
      <c r="A18" s="2" t="s">
        <v>32</v>
      </c>
      <c r="B18" s="58" t="s">
        <v>33</v>
      </c>
      <c r="C18" s="58"/>
      <c r="D18" s="58"/>
      <c r="E18" s="58"/>
      <c r="F18" s="58"/>
    </row>
    <row r="19" spans="1:6" ht="21.75" customHeight="1" x14ac:dyDescent="0.3">
      <c r="A19" s="1" t="s">
        <v>34</v>
      </c>
      <c r="B19" s="57" t="s">
        <v>35</v>
      </c>
      <c r="C19" s="57"/>
      <c r="D19" s="57"/>
      <c r="E19" s="57"/>
      <c r="F19" s="57"/>
    </row>
    <row r="20" spans="1:6" ht="21.75" customHeight="1" x14ac:dyDescent="0.3">
      <c r="A20" s="2" t="s">
        <v>36</v>
      </c>
      <c r="B20" s="58" t="s">
        <v>37</v>
      </c>
      <c r="C20" s="58"/>
      <c r="D20" s="58"/>
      <c r="E20" s="58"/>
      <c r="F20" s="58"/>
    </row>
  </sheetData>
  <mergeCells count="20">
    <mergeCell ref="B16:F16"/>
    <mergeCell ref="B17:F17"/>
    <mergeCell ref="B18:F18"/>
    <mergeCell ref="B19:F19"/>
    <mergeCell ref="B20:F20"/>
    <mergeCell ref="B11:F11"/>
    <mergeCell ref="B12:F12"/>
    <mergeCell ref="B13:F13"/>
    <mergeCell ref="B14:F14"/>
    <mergeCell ref="B15:F15"/>
    <mergeCell ref="B6:F6"/>
    <mergeCell ref="B7:F7"/>
    <mergeCell ref="B8:F8"/>
    <mergeCell ref="B9:F9"/>
    <mergeCell ref="B10:F10"/>
    <mergeCell ref="A1:F1"/>
    <mergeCell ref="A2:F2"/>
    <mergeCell ref="B3:F3"/>
    <mergeCell ref="B4:F4"/>
    <mergeCell ref="B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59"/>
  <sheetViews>
    <sheetView rightToLeft="1" tabSelected="1" zoomScale="145" zoomScaleNormal="145" zoomScaleSheetLayoutView="42" workbookViewId="0">
      <pane xSplit="2" ySplit="1" topLeftCell="AD2" activePane="bottomRight" state="frozen"/>
      <selection pane="topRight" activeCell="C1" sqref="C1"/>
      <selection pane="bottomLeft" activeCell="A4" sqref="A4"/>
      <selection pane="bottomRight" activeCell="D1" sqref="D1"/>
    </sheetView>
  </sheetViews>
  <sheetFormatPr defaultColWidth="8.6640625" defaultRowHeight="14.4" x14ac:dyDescent="0.3"/>
  <cols>
    <col min="1" max="1" width="8.88671875" customWidth="1"/>
    <col min="2" max="2" width="25.6640625" customWidth="1"/>
    <col min="3" max="3" width="31.5546875" customWidth="1"/>
    <col min="4" max="6" width="25.6640625" customWidth="1"/>
    <col min="7" max="7" width="12" customWidth="1"/>
    <col min="8" max="8" width="12.44140625" customWidth="1"/>
    <col min="9" max="11" width="10" customWidth="1"/>
    <col min="12" max="27" width="16" customWidth="1"/>
  </cols>
  <sheetData>
    <row r="1" spans="1:50" ht="60" x14ac:dyDescent="0.3">
      <c r="A1" s="35" t="s">
        <v>40</v>
      </c>
      <c r="B1" s="36" t="s">
        <v>41</v>
      </c>
      <c r="C1" s="36" t="s">
        <v>238</v>
      </c>
      <c r="D1" s="36" t="s">
        <v>239</v>
      </c>
      <c r="E1" s="36" t="s">
        <v>240</v>
      </c>
      <c r="F1" s="36" t="s">
        <v>241</v>
      </c>
      <c r="G1" s="36" t="s">
        <v>42</v>
      </c>
      <c r="H1" s="36" t="s">
        <v>6</v>
      </c>
      <c r="I1" s="36" t="s">
        <v>43</v>
      </c>
      <c r="J1" s="36" t="s">
        <v>44</v>
      </c>
      <c r="K1" s="36" t="s">
        <v>45</v>
      </c>
      <c r="L1" s="36" t="s">
        <v>46</v>
      </c>
      <c r="M1" s="36" t="s">
        <v>47</v>
      </c>
      <c r="N1" s="36" t="s">
        <v>221</v>
      </c>
      <c r="O1" s="36" t="s">
        <v>48</v>
      </c>
      <c r="P1" s="36" t="s">
        <v>49</v>
      </c>
      <c r="Q1" s="36" t="s">
        <v>50</v>
      </c>
      <c r="R1" s="36" t="s">
        <v>220</v>
      </c>
      <c r="S1" s="36" t="s">
        <v>51</v>
      </c>
      <c r="T1" s="36" t="s">
        <v>52</v>
      </c>
      <c r="U1" s="36" t="s">
        <v>53</v>
      </c>
      <c r="V1" s="36" t="s">
        <v>54</v>
      </c>
      <c r="W1" s="36" t="s">
        <v>55</v>
      </c>
      <c r="X1" s="36" t="s">
        <v>56</v>
      </c>
      <c r="Y1" s="36" t="s">
        <v>57</v>
      </c>
      <c r="Z1" s="36" t="s">
        <v>58</v>
      </c>
      <c r="AA1" s="37" t="s">
        <v>59</v>
      </c>
      <c r="AB1" s="50" t="s">
        <v>228</v>
      </c>
      <c r="AC1" s="50" t="s">
        <v>234</v>
      </c>
      <c r="AD1" s="50" t="s">
        <v>235</v>
      </c>
      <c r="AE1" s="50" t="s">
        <v>236</v>
      </c>
      <c r="AF1" s="50" t="s">
        <v>229</v>
      </c>
      <c r="AG1" s="50" t="s">
        <v>230</v>
      </c>
      <c r="AH1" s="50" t="s">
        <v>243</v>
      </c>
      <c r="AI1" s="50" t="s">
        <v>244</v>
      </c>
      <c r="AJ1" s="50" t="s">
        <v>231</v>
      </c>
      <c r="AK1" s="50" t="s">
        <v>245</v>
      </c>
      <c r="AL1" s="50" t="s">
        <v>232</v>
      </c>
      <c r="AM1" s="50" t="s">
        <v>233</v>
      </c>
      <c r="AN1" s="50" t="s">
        <v>237</v>
      </c>
      <c r="AO1" s="36" t="s">
        <v>222</v>
      </c>
      <c r="AP1" s="36" t="s">
        <v>223</v>
      </c>
      <c r="AQ1" s="36" t="s">
        <v>224</v>
      </c>
      <c r="AR1" s="36" t="s">
        <v>225</v>
      </c>
      <c r="AS1" s="36" t="s">
        <v>226</v>
      </c>
      <c r="AT1" s="36" t="s">
        <v>227</v>
      </c>
      <c r="AU1" s="36" t="s">
        <v>246</v>
      </c>
      <c r="AV1" s="36" t="s">
        <v>247</v>
      </c>
      <c r="AW1" s="36" t="s">
        <v>248</v>
      </c>
      <c r="AX1" s="36" t="s">
        <v>249</v>
      </c>
    </row>
    <row r="2" spans="1:50" x14ac:dyDescent="0.3">
      <c r="A2" s="33">
        <v>1</v>
      </c>
      <c r="B2" s="3" t="s">
        <v>128</v>
      </c>
      <c r="C2" s="3" t="s">
        <v>242</v>
      </c>
      <c r="D2" s="51">
        <v>46023</v>
      </c>
      <c r="E2" s="51">
        <v>46296</v>
      </c>
      <c r="F2" s="7">
        <f>IF(C2="ترك",DATEDIF(D2,E2,"m"),DATEDIF(D2,E2,"m")+1)</f>
        <v>9</v>
      </c>
      <c r="G2" s="3" t="s">
        <v>95</v>
      </c>
      <c r="H2" s="3" t="s">
        <v>183</v>
      </c>
      <c r="I2" s="3"/>
      <c r="J2" s="3" t="s">
        <v>101</v>
      </c>
      <c r="K2" s="3" t="s">
        <v>127</v>
      </c>
      <c r="L2" s="4">
        <v>350000</v>
      </c>
      <c r="M2" s="4"/>
      <c r="N2" s="4">
        <v>0</v>
      </c>
      <c r="O2" s="3" t="s">
        <v>60</v>
      </c>
      <c r="P2" s="5">
        <f t="shared" ref="P2:P20" si="0">IF(O2="مؤثث",L2*0.2,IF(O2="غير مؤثث",L2*0.1,0))</f>
        <v>0</v>
      </c>
      <c r="Q2" s="5">
        <f t="shared" ref="Q2:Q20" si="1">L2+M2+N2+P2</f>
        <v>350000</v>
      </c>
      <c r="R2" s="5">
        <f t="shared" ref="R2:R20" si="2">IF(K2="خاص",MIN(N2+M2,L2*0.3),0)</f>
        <v>0</v>
      </c>
      <c r="S2" s="4">
        <f>IF(Table1[[#This Row],[الراتب الاسمي
(IQD)]]&lt;1750000,L2*5%,1750000*5%)</f>
        <v>17500</v>
      </c>
      <c r="T2" s="4">
        <v>0</v>
      </c>
      <c r="U2" s="4">
        <v>0</v>
      </c>
      <c r="V2" s="5">
        <f t="shared" ref="V2:V20" si="3">R2+S2+MIN(T2,166667)+U2</f>
        <v>17500</v>
      </c>
      <c r="W2" s="5">
        <f>IF(G2="غير مقيم",0,IF(H2="متزوج",4500000/12,IF(OR(H2="أرمل",H2="مطلق"),3200000/12,2500000/12))+IF(ISNUMBER(I2),I2,0)*200000/12+IF(J2="نعم",300000/12,0))</f>
        <v>208333.33333333334</v>
      </c>
      <c r="X2" s="5">
        <f t="shared" ref="X2:X20" si="4">MAX(0,Q2-V2-W2)</f>
        <v>124166.66666666666</v>
      </c>
      <c r="Y2" s="6">
        <f t="shared" ref="Y2:Y20" si="5">IF(X2&lt;=0,0,IF(X2&lt;=20833,X2*0.03,IF(X2&lt;=41667,20833*0.03+(X2-20833)*0.05,IF(X2&lt;=83333,20833*0.03+20834*0.05+(X2-41667)*0.1,20833*0.03+20834*0.05+41666*0.1+(X2-83333)*0.15))))</f>
        <v>11958.34</v>
      </c>
      <c r="Z2" s="6">
        <f t="shared" ref="Z2:Z20" si="6">Y2*12</f>
        <v>143500.08000000002</v>
      </c>
      <c r="AA2" s="34">
        <f t="shared" ref="AA2:AA20" si="7">Q2-Y2-S2</f>
        <v>320541.65999999997</v>
      </c>
      <c r="AB2">
        <f>Table1[[#This Row],[الراتب الاسمي
(IQD)]]*Table1[[#This Row],[ ‏عدد الأشهر ]]</f>
        <v>3150000</v>
      </c>
      <c r="AC2">
        <f>Table1[[#This Row],[مخصصات خاضعة
(IQD)]]*Table1[[#This Row],[ ‏عدد الأشهر ]]</f>
        <v>0</v>
      </c>
      <c r="AD2">
        <f>Table1[[#This Row],[مخصصات  سكن/طعام
نقدي (IQD)]]*Table1[[#This Row],[ ‏عدد الأشهر ]]</f>
        <v>0</v>
      </c>
      <c r="AE2">
        <f>Table1[[#This Row],[إضافة السكن
العيني (IQD)]]*Table1[[#This Row],[ ‏عدد الأشهر ]]</f>
        <v>0</v>
      </c>
      <c r="AF2">
        <f>Table1[[#This Row],[الدخل الإجمالي
(IQD)]]*Table1[[#This Row],[ ‏عدد الأشهر ]]</f>
        <v>3150000</v>
      </c>
      <c r="AG2">
        <f>Table1[[#This Row],[إعفاء 30%
قطاع خاص (IQD)    ١ ب]]*Table1[[#This Row],[ ‏عدد الأشهر ]]</f>
        <v>0</v>
      </c>
      <c r="AH2">
        <f>Table1[[#This Row],[توقيفات
تقاعدية (IQD)]]*Table1[[#This Row],[ ‏عدد الأشهر ]]</f>
        <v>157500</v>
      </c>
      <c r="AI2">
        <f>Table1[[#This Row],[تأمين حياة
شهري (IQD)]]*Table1[[#This Row],[ ‏عدد الأشهر ]]</f>
        <v>0</v>
      </c>
      <c r="AJ2">
        <f>Table1[[#This Row],[نفقة شرعية
(IQD)]]*Table1[[#This Row],[ ‏عدد الأشهر ]]</f>
        <v>0</v>
      </c>
      <c r="AK2">
        <f>Table1[[#This Row],[تأمين حياة
 (IQD) سنوي]]+Table1[[#This Row],[نفقة شرعية
(IQD) سنوي]]</f>
        <v>0</v>
      </c>
      <c r="AL2">
        <f>Table1[[#This Row],[إجمالي
التنزيلات (IQD)]]*Table1[[#This Row],[ ‏عدد الأشهر ]]</f>
        <v>157500</v>
      </c>
      <c r="AM2">
        <f>Table1[[#This Row],[السماح الشهري
(IQD)]]*Table1[[#This Row],[ ‏عدد الأشهر ]]</f>
        <v>1875000</v>
      </c>
      <c r="AN2">
        <f>Table1[[#This Row],[الوعاء الضريبي
الصافي (IQD)]]*Table1[[#This Row],[ ‏عدد الأشهر ]]</f>
        <v>1117500</v>
      </c>
    </row>
    <row r="3" spans="1:50" x14ac:dyDescent="0.3">
      <c r="A3" s="33">
        <v>2</v>
      </c>
      <c r="B3" s="7" t="s">
        <v>129</v>
      </c>
      <c r="C3" s="7"/>
      <c r="D3" s="51">
        <v>46023</v>
      </c>
      <c r="E3" s="51">
        <v>46387</v>
      </c>
      <c r="F3" s="7">
        <f t="shared" ref="F3:F20" si="8">IF(C3="ترك",DATEDIF(D3,E3,"m"),DATEDIF(D3,E3,"m")+1)</f>
        <v>12</v>
      </c>
      <c r="G3" s="7"/>
      <c r="H3" s="3" t="s">
        <v>183</v>
      </c>
      <c r="I3" s="7"/>
      <c r="J3" s="3" t="s">
        <v>101</v>
      </c>
      <c r="K3" s="3" t="s">
        <v>127</v>
      </c>
      <c r="L3" s="8">
        <v>375000</v>
      </c>
      <c r="M3" s="8">
        <v>0</v>
      </c>
      <c r="N3" s="8">
        <v>0</v>
      </c>
      <c r="O3" s="7" t="s">
        <v>60</v>
      </c>
      <c r="P3" s="9">
        <f t="shared" si="0"/>
        <v>0</v>
      </c>
      <c r="Q3" s="9">
        <f t="shared" si="1"/>
        <v>375000</v>
      </c>
      <c r="R3" s="9">
        <f t="shared" si="2"/>
        <v>0</v>
      </c>
      <c r="S3" s="4">
        <f>IF(Table1[[#This Row],[الراتب الاسمي
(IQD)]]&lt;1750000,L3*5%,1750000*5%)</f>
        <v>18750</v>
      </c>
      <c r="T3" s="8">
        <v>0</v>
      </c>
      <c r="U3" s="8">
        <v>0</v>
      </c>
      <c r="V3" s="9">
        <f t="shared" si="3"/>
        <v>18750</v>
      </c>
      <c r="W3" s="5">
        <f t="shared" ref="W3:W20" si="9">IF(G3="غير مقيم",0,IF(H3="متزوج",4500000/12,IF(OR(H3="أرمل",H3="مطلق"),3200000/12,2500000/12))+IF(ISNUMBER(I3),I3,0)*200000/12+IF(J3="نعم",300000/12,0))</f>
        <v>208333.33333333334</v>
      </c>
      <c r="X3" s="9">
        <f t="shared" si="4"/>
        <v>147916.66666666666</v>
      </c>
      <c r="Y3" s="6">
        <f t="shared" si="5"/>
        <v>15520.839999999998</v>
      </c>
      <c r="Z3" s="6">
        <f t="shared" si="6"/>
        <v>186250.08</v>
      </c>
      <c r="AA3" s="34">
        <f t="shared" si="7"/>
        <v>340729.16</v>
      </c>
      <c r="AB3">
        <f>Table1[[#This Row],[الراتب الاسمي
(IQD)]]*Table1[[#This Row],[ ‏عدد الأشهر ]]</f>
        <v>4500000</v>
      </c>
      <c r="AC3">
        <f>Table1[[#This Row],[مخصصات خاضعة
(IQD)]]*Table1[[#This Row],[ ‏عدد الأشهر ]]</f>
        <v>0</v>
      </c>
      <c r="AD3">
        <f>Table1[[#This Row],[مخصصات  سكن/طعام
نقدي (IQD)]]*Table1[[#This Row],[ ‏عدد الأشهر ]]</f>
        <v>0</v>
      </c>
      <c r="AE3">
        <f>Table1[[#This Row],[إضافة السكن
العيني (IQD)]]*Table1[[#This Row],[ ‏عدد الأشهر ]]</f>
        <v>0</v>
      </c>
      <c r="AF3">
        <f>Table1[[#This Row],[الدخل الإجمالي
(IQD)]]*Table1[[#This Row],[ ‏عدد الأشهر ]]</f>
        <v>4500000</v>
      </c>
      <c r="AG3">
        <f>Table1[[#This Row],[إعفاء 30%
قطاع خاص (IQD)    ١ ب]]*Table1[[#This Row],[ ‏عدد الأشهر ]]</f>
        <v>0</v>
      </c>
      <c r="AH3">
        <f>Table1[[#This Row],[توقيفات
تقاعدية (IQD)]]*Table1[[#This Row],[ ‏عدد الأشهر ]]</f>
        <v>225000</v>
      </c>
      <c r="AI3">
        <f>Table1[[#This Row],[تأمين حياة
شهري (IQD)]]*Table1[[#This Row],[ ‏عدد الأشهر ]]</f>
        <v>0</v>
      </c>
      <c r="AJ3">
        <f>Table1[[#This Row],[نفقة شرعية
(IQD)]]*Table1[[#This Row],[ ‏عدد الأشهر ]]</f>
        <v>0</v>
      </c>
      <c r="AK3">
        <f>Table1[[#This Row],[تأمين حياة
 (IQD) سنوي]]+Table1[[#This Row],[نفقة شرعية
(IQD) سنوي]]</f>
        <v>0</v>
      </c>
      <c r="AL3">
        <f>Table1[[#This Row],[إجمالي
التنزيلات (IQD)]]*Table1[[#This Row],[ ‏عدد الأشهر ]]</f>
        <v>225000</v>
      </c>
      <c r="AM3">
        <f>Table1[[#This Row],[السماح الشهري
(IQD)]]*Table1[[#This Row],[ ‏عدد الأشهر ]]</f>
        <v>2500000</v>
      </c>
      <c r="AN3">
        <f>Table1[[#This Row],[الوعاء الضريبي
الصافي (IQD)]]*Table1[[#This Row],[ ‏عدد الأشهر ]]</f>
        <v>1775000</v>
      </c>
    </row>
    <row r="4" spans="1:50" x14ac:dyDescent="0.3">
      <c r="A4" s="33">
        <v>3</v>
      </c>
      <c r="B4" s="3" t="s">
        <v>130</v>
      </c>
      <c r="C4" s="3"/>
      <c r="D4" s="51">
        <v>46023</v>
      </c>
      <c r="E4" s="51">
        <v>46032</v>
      </c>
      <c r="F4" s="7">
        <f t="shared" si="8"/>
        <v>1</v>
      </c>
      <c r="G4" s="3"/>
      <c r="H4" s="3" t="s">
        <v>183</v>
      </c>
      <c r="I4" s="3"/>
      <c r="J4" s="3" t="s">
        <v>101</v>
      </c>
      <c r="K4" s="3" t="s">
        <v>127</v>
      </c>
      <c r="L4" s="4">
        <v>375000</v>
      </c>
      <c r="M4" s="4">
        <v>0</v>
      </c>
      <c r="N4" s="4">
        <v>0</v>
      </c>
      <c r="O4" s="3" t="s">
        <v>60</v>
      </c>
      <c r="P4" s="5">
        <f t="shared" si="0"/>
        <v>0</v>
      </c>
      <c r="Q4" s="5">
        <f t="shared" si="1"/>
        <v>375000</v>
      </c>
      <c r="R4" s="5">
        <f t="shared" si="2"/>
        <v>0</v>
      </c>
      <c r="S4" s="4">
        <f>IF(Table1[[#This Row],[الراتب الاسمي
(IQD)]]&lt;1750000,L4*5%,1750000*5%)</f>
        <v>18750</v>
      </c>
      <c r="T4" s="4">
        <v>0</v>
      </c>
      <c r="U4" s="4">
        <v>0</v>
      </c>
      <c r="V4" s="5">
        <f t="shared" si="3"/>
        <v>18750</v>
      </c>
      <c r="W4" s="5">
        <f t="shared" si="9"/>
        <v>208333.33333333334</v>
      </c>
      <c r="X4" s="5">
        <f t="shared" si="4"/>
        <v>147916.66666666666</v>
      </c>
      <c r="Y4" s="6">
        <f t="shared" si="5"/>
        <v>15520.839999999998</v>
      </c>
      <c r="Z4" s="6">
        <f t="shared" si="6"/>
        <v>186250.08</v>
      </c>
      <c r="AA4" s="34">
        <f t="shared" si="7"/>
        <v>340729.16</v>
      </c>
      <c r="AB4">
        <f>Table1[[#This Row],[الراتب الاسمي
(IQD)]]*Table1[[#This Row],[ ‏عدد الأشهر ]]</f>
        <v>375000</v>
      </c>
      <c r="AC4">
        <f>Table1[[#This Row],[مخصصات خاضعة
(IQD)]]*Table1[[#This Row],[ ‏عدد الأشهر ]]</f>
        <v>0</v>
      </c>
      <c r="AD4">
        <f>Table1[[#This Row],[مخصصات  سكن/طعام
نقدي (IQD)]]*Table1[[#This Row],[ ‏عدد الأشهر ]]</f>
        <v>0</v>
      </c>
      <c r="AE4">
        <f>Table1[[#This Row],[إضافة السكن
العيني (IQD)]]*Table1[[#This Row],[ ‏عدد الأشهر ]]</f>
        <v>0</v>
      </c>
      <c r="AF4">
        <f>Table1[[#This Row],[الدخل الإجمالي
(IQD)]]*Table1[[#This Row],[ ‏عدد الأشهر ]]</f>
        <v>375000</v>
      </c>
      <c r="AG4">
        <f>Table1[[#This Row],[إعفاء 30%
قطاع خاص (IQD)    ١ ب]]*Table1[[#This Row],[ ‏عدد الأشهر ]]</f>
        <v>0</v>
      </c>
      <c r="AH4">
        <f>Table1[[#This Row],[توقيفات
تقاعدية (IQD)]]*Table1[[#This Row],[ ‏عدد الأشهر ]]</f>
        <v>18750</v>
      </c>
      <c r="AI4">
        <f>Table1[[#This Row],[تأمين حياة
شهري (IQD)]]*Table1[[#This Row],[ ‏عدد الأشهر ]]</f>
        <v>0</v>
      </c>
      <c r="AJ4">
        <f>Table1[[#This Row],[نفقة شرعية
(IQD)]]*Table1[[#This Row],[ ‏عدد الأشهر ]]</f>
        <v>0</v>
      </c>
      <c r="AK4">
        <f>Table1[[#This Row],[تأمين حياة
 (IQD) سنوي]]+Table1[[#This Row],[نفقة شرعية
(IQD) سنوي]]</f>
        <v>0</v>
      </c>
      <c r="AL4">
        <f>Table1[[#This Row],[إجمالي
التنزيلات (IQD)]]*Table1[[#This Row],[ ‏عدد الأشهر ]]</f>
        <v>18750</v>
      </c>
      <c r="AM4">
        <f>Table1[[#This Row],[السماح الشهري
(IQD)]]*Table1[[#This Row],[ ‏عدد الأشهر ]]</f>
        <v>208333.33333333334</v>
      </c>
      <c r="AN4">
        <f>Table1[[#This Row],[الوعاء الضريبي
الصافي (IQD)]]*Table1[[#This Row],[ ‏عدد الأشهر ]]</f>
        <v>147916.66666666666</v>
      </c>
    </row>
    <row r="5" spans="1:50" x14ac:dyDescent="0.3">
      <c r="A5" s="33">
        <v>4</v>
      </c>
      <c r="B5" s="7" t="s">
        <v>131</v>
      </c>
      <c r="C5" s="7"/>
      <c r="D5" s="51">
        <v>46023</v>
      </c>
      <c r="E5" s="51">
        <v>46032</v>
      </c>
      <c r="F5" s="7">
        <f t="shared" si="8"/>
        <v>1</v>
      </c>
      <c r="G5" s="7"/>
      <c r="H5" s="3" t="s">
        <v>182</v>
      </c>
      <c r="I5" s="7"/>
      <c r="J5" s="3" t="s">
        <v>101</v>
      </c>
      <c r="K5" s="3" t="s">
        <v>127</v>
      </c>
      <c r="L5" s="8">
        <v>375000</v>
      </c>
      <c r="M5" s="8">
        <v>0</v>
      </c>
      <c r="N5" s="8">
        <v>0</v>
      </c>
      <c r="O5" s="7" t="s">
        <v>60</v>
      </c>
      <c r="P5" s="9">
        <f t="shared" si="0"/>
        <v>0</v>
      </c>
      <c r="Q5" s="9">
        <f t="shared" si="1"/>
        <v>375000</v>
      </c>
      <c r="R5" s="9">
        <f t="shared" si="2"/>
        <v>0</v>
      </c>
      <c r="S5" s="4">
        <f>IF(Table1[[#This Row],[الراتب الاسمي
(IQD)]]&lt;1750000,L5*5%,1750000*5%)</f>
        <v>18750</v>
      </c>
      <c r="T5" s="8">
        <v>0</v>
      </c>
      <c r="U5" s="8">
        <v>0</v>
      </c>
      <c r="V5" s="9">
        <f t="shared" si="3"/>
        <v>18750</v>
      </c>
      <c r="W5" s="5">
        <f t="shared" si="9"/>
        <v>375000</v>
      </c>
      <c r="X5" s="9">
        <f t="shared" si="4"/>
        <v>0</v>
      </c>
      <c r="Y5" s="6">
        <f t="shared" si="5"/>
        <v>0</v>
      </c>
      <c r="Z5" s="6">
        <f t="shared" si="6"/>
        <v>0</v>
      </c>
      <c r="AA5" s="34">
        <f t="shared" si="7"/>
        <v>356250</v>
      </c>
      <c r="AB5">
        <f>Table1[[#This Row],[الراتب الاسمي
(IQD)]]*Table1[[#This Row],[ ‏عدد الأشهر ]]</f>
        <v>375000</v>
      </c>
      <c r="AC5">
        <f>Table1[[#This Row],[مخصصات خاضعة
(IQD)]]*Table1[[#This Row],[ ‏عدد الأشهر ]]</f>
        <v>0</v>
      </c>
      <c r="AD5">
        <f>Table1[[#This Row],[مخصصات  سكن/طعام
نقدي (IQD)]]*Table1[[#This Row],[ ‏عدد الأشهر ]]</f>
        <v>0</v>
      </c>
      <c r="AE5">
        <f>Table1[[#This Row],[إضافة السكن
العيني (IQD)]]*Table1[[#This Row],[ ‏عدد الأشهر ]]</f>
        <v>0</v>
      </c>
      <c r="AF5">
        <f>Table1[[#This Row],[الدخل الإجمالي
(IQD)]]*Table1[[#This Row],[ ‏عدد الأشهر ]]</f>
        <v>375000</v>
      </c>
      <c r="AG5">
        <f>Table1[[#This Row],[إعفاء 30%
قطاع خاص (IQD)    ١ ب]]*Table1[[#This Row],[ ‏عدد الأشهر ]]</f>
        <v>0</v>
      </c>
      <c r="AH5">
        <f>Table1[[#This Row],[توقيفات
تقاعدية (IQD)]]*Table1[[#This Row],[ ‏عدد الأشهر ]]</f>
        <v>18750</v>
      </c>
      <c r="AI5">
        <f>Table1[[#This Row],[تأمين حياة
شهري (IQD)]]*Table1[[#This Row],[ ‏عدد الأشهر ]]</f>
        <v>0</v>
      </c>
      <c r="AJ5">
        <f>Table1[[#This Row],[نفقة شرعية
(IQD)]]*Table1[[#This Row],[ ‏عدد الأشهر ]]</f>
        <v>0</v>
      </c>
      <c r="AK5">
        <f>Table1[[#This Row],[تأمين حياة
 (IQD) سنوي]]+Table1[[#This Row],[نفقة شرعية
(IQD) سنوي]]</f>
        <v>0</v>
      </c>
      <c r="AL5">
        <f>Table1[[#This Row],[إجمالي
التنزيلات (IQD)]]*Table1[[#This Row],[ ‏عدد الأشهر ]]</f>
        <v>18750</v>
      </c>
      <c r="AM5">
        <f>Table1[[#This Row],[السماح الشهري
(IQD)]]*Table1[[#This Row],[ ‏عدد الأشهر ]]</f>
        <v>375000</v>
      </c>
      <c r="AN5">
        <f>Table1[[#This Row],[الوعاء الضريبي
الصافي (IQD)]]*Table1[[#This Row],[ ‏عدد الأشهر ]]</f>
        <v>0</v>
      </c>
    </row>
    <row r="6" spans="1:50" x14ac:dyDescent="0.3">
      <c r="A6" s="33">
        <v>5</v>
      </c>
      <c r="B6" s="3" t="s">
        <v>132</v>
      </c>
      <c r="C6" s="3"/>
      <c r="D6" s="51">
        <v>46023</v>
      </c>
      <c r="E6" s="51">
        <v>46032</v>
      </c>
      <c r="F6" s="7">
        <f t="shared" si="8"/>
        <v>1</v>
      </c>
      <c r="G6" s="3"/>
      <c r="H6" s="3" t="s">
        <v>183</v>
      </c>
      <c r="I6" s="3"/>
      <c r="J6" s="3" t="s">
        <v>101</v>
      </c>
      <c r="K6" s="3" t="s">
        <v>127</v>
      </c>
      <c r="L6" s="4">
        <v>375000</v>
      </c>
      <c r="M6" s="4">
        <v>0</v>
      </c>
      <c r="N6" s="4">
        <v>0</v>
      </c>
      <c r="O6" s="3" t="s">
        <v>60</v>
      </c>
      <c r="P6" s="5">
        <f t="shared" si="0"/>
        <v>0</v>
      </c>
      <c r="Q6" s="5">
        <f t="shared" si="1"/>
        <v>375000</v>
      </c>
      <c r="R6" s="5">
        <f t="shared" si="2"/>
        <v>0</v>
      </c>
      <c r="S6" s="4">
        <f>IF(Table1[[#This Row],[الراتب الاسمي
(IQD)]]&lt;1750000,L6*5%,1750000*5%)</f>
        <v>18750</v>
      </c>
      <c r="T6" s="4">
        <v>0</v>
      </c>
      <c r="U6" s="4">
        <v>0</v>
      </c>
      <c r="V6" s="5">
        <f t="shared" si="3"/>
        <v>18750</v>
      </c>
      <c r="W6" s="5">
        <f t="shared" si="9"/>
        <v>208333.33333333334</v>
      </c>
      <c r="X6" s="5">
        <f t="shared" si="4"/>
        <v>147916.66666666666</v>
      </c>
      <c r="Y6" s="6">
        <f t="shared" si="5"/>
        <v>15520.839999999998</v>
      </c>
      <c r="Z6" s="6">
        <f t="shared" si="6"/>
        <v>186250.08</v>
      </c>
      <c r="AA6" s="34">
        <f t="shared" si="7"/>
        <v>340729.16</v>
      </c>
      <c r="AB6">
        <f>Table1[[#This Row],[الراتب الاسمي
(IQD)]]*Table1[[#This Row],[ ‏عدد الأشهر ]]</f>
        <v>375000</v>
      </c>
      <c r="AC6">
        <f>Table1[[#This Row],[مخصصات خاضعة
(IQD)]]*Table1[[#This Row],[ ‏عدد الأشهر ]]</f>
        <v>0</v>
      </c>
      <c r="AD6">
        <f>Table1[[#This Row],[مخصصات  سكن/طعام
نقدي (IQD)]]*Table1[[#This Row],[ ‏عدد الأشهر ]]</f>
        <v>0</v>
      </c>
      <c r="AE6">
        <f>Table1[[#This Row],[إضافة السكن
العيني (IQD)]]*Table1[[#This Row],[ ‏عدد الأشهر ]]</f>
        <v>0</v>
      </c>
      <c r="AF6">
        <f>Table1[[#This Row],[الدخل الإجمالي
(IQD)]]*Table1[[#This Row],[ ‏عدد الأشهر ]]</f>
        <v>375000</v>
      </c>
      <c r="AG6">
        <f>Table1[[#This Row],[إعفاء 30%
قطاع خاص (IQD)    ١ ب]]*Table1[[#This Row],[ ‏عدد الأشهر ]]</f>
        <v>0</v>
      </c>
      <c r="AH6">
        <f>Table1[[#This Row],[توقيفات
تقاعدية (IQD)]]*Table1[[#This Row],[ ‏عدد الأشهر ]]</f>
        <v>18750</v>
      </c>
      <c r="AI6">
        <f>Table1[[#This Row],[تأمين حياة
شهري (IQD)]]*Table1[[#This Row],[ ‏عدد الأشهر ]]</f>
        <v>0</v>
      </c>
      <c r="AJ6">
        <f>Table1[[#This Row],[نفقة شرعية
(IQD)]]*Table1[[#This Row],[ ‏عدد الأشهر ]]</f>
        <v>0</v>
      </c>
      <c r="AK6">
        <f>Table1[[#This Row],[تأمين حياة
 (IQD) سنوي]]+Table1[[#This Row],[نفقة شرعية
(IQD) سنوي]]</f>
        <v>0</v>
      </c>
      <c r="AL6">
        <f>Table1[[#This Row],[إجمالي
التنزيلات (IQD)]]*Table1[[#This Row],[ ‏عدد الأشهر ]]</f>
        <v>18750</v>
      </c>
      <c r="AM6">
        <f>Table1[[#This Row],[السماح الشهري
(IQD)]]*Table1[[#This Row],[ ‏عدد الأشهر ]]</f>
        <v>208333.33333333334</v>
      </c>
      <c r="AN6">
        <f>Table1[[#This Row],[الوعاء الضريبي
الصافي (IQD)]]*Table1[[#This Row],[ ‏عدد الأشهر ]]</f>
        <v>147916.66666666666</v>
      </c>
    </row>
    <row r="7" spans="1:50" x14ac:dyDescent="0.3">
      <c r="A7" s="33">
        <v>6</v>
      </c>
      <c r="B7" s="7" t="s">
        <v>133</v>
      </c>
      <c r="C7" s="7"/>
      <c r="D7" s="51">
        <v>46023</v>
      </c>
      <c r="E7" s="51">
        <v>46032</v>
      </c>
      <c r="F7" s="7">
        <f t="shared" si="8"/>
        <v>1</v>
      </c>
      <c r="G7" s="7"/>
      <c r="H7" s="3" t="s">
        <v>183</v>
      </c>
      <c r="I7" s="7"/>
      <c r="J7" s="3" t="s">
        <v>101</v>
      </c>
      <c r="K7" s="3" t="s">
        <v>127</v>
      </c>
      <c r="L7" s="8">
        <v>375000</v>
      </c>
      <c r="M7" s="8">
        <v>0</v>
      </c>
      <c r="N7" s="8">
        <v>0</v>
      </c>
      <c r="O7" s="7" t="s">
        <v>60</v>
      </c>
      <c r="P7" s="9">
        <f t="shared" si="0"/>
        <v>0</v>
      </c>
      <c r="Q7" s="9">
        <f t="shared" si="1"/>
        <v>375000</v>
      </c>
      <c r="R7" s="9">
        <f t="shared" si="2"/>
        <v>0</v>
      </c>
      <c r="S7" s="4">
        <f>IF(Table1[[#This Row],[الراتب الاسمي
(IQD)]]&lt;1750000,L7*5%,1750000*5%)</f>
        <v>18750</v>
      </c>
      <c r="T7" s="8">
        <v>0</v>
      </c>
      <c r="U7" s="8">
        <v>0</v>
      </c>
      <c r="V7" s="9">
        <f t="shared" si="3"/>
        <v>18750</v>
      </c>
      <c r="W7" s="5">
        <f t="shared" si="9"/>
        <v>208333.33333333334</v>
      </c>
      <c r="X7" s="9">
        <f t="shared" si="4"/>
        <v>147916.66666666666</v>
      </c>
      <c r="Y7" s="6">
        <f t="shared" si="5"/>
        <v>15520.839999999998</v>
      </c>
      <c r="Z7" s="6">
        <f t="shared" si="6"/>
        <v>186250.08</v>
      </c>
      <c r="AA7" s="34">
        <f t="shared" si="7"/>
        <v>340729.16</v>
      </c>
      <c r="AB7">
        <f>Table1[[#This Row],[الراتب الاسمي
(IQD)]]*Table1[[#This Row],[ ‏عدد الأشهر ]]</f>
        <v>375000</v>
      </c>
      <c r="AC7">
        <f>Table1[[#This Row],[مخصصات خاضعة
(IQD)]]*Table1[[#This Row],[ ‏عدد الأشهر ]]</f>
        <v>0</v>
      </c>
      <c r="AD7">
        <f>Table1[[#This Row],[مخصصات  سكن/طعام
نقدي (IQD)]]*Table1[[#This Row],[ ‏عدد الأشهر ]]</f>
        <v>0</v>
      </c>
      <c r="AE7">
        <f>Table1[[#This Row],[إضافة السكن
العيني (IQD)]]*Table1[[#This Row],[ ‏عدد الأشهر ]]</f>
        <v>0</v>
      </c>
      <c r="AF7">
        <f>Table1[[#This Row],[الدخل الإجمالي
(IQD)]]*Table1[[#This Row],[ ‏عدد الأشهر ]]</f>
        <v>375000</v>
      </c>
      <c r="AG7">
        <f>Table1[[#This Row],[إعفاء 30%
قطاع خاص (IQD)    ١ ب]]*Table1[[#This Row],[ ‏عدد الأشهر ]]</f>
        <v>0</v>
      </c>
      <c r="AH7">
        <f>Table1[[#This Row],[توقيفات
تقاعدية (IQD)]]*Table1[[#This Row],[ ‏عدد الأشهر ]]</f>
        <v>18750</v>
      </c>
      <c r="AI7">
        <f>Table1[[#This Row],[تأمين حياة
شهري (IQD)]]*Table1[[#This Row],[ ‏عدد الأشهر ]]</f>
        <v>0</v>
      </c>
      <c r="AJ7">
        <f>Table1[[#This Row],[نفقة شرعية
(IQD)]]*Table1[[#This Row],[ ‏عدد الأشهر ]]</f>
        <v>0</v>
      </c>
      <c r="AK7">
        <f>Table1[[#This Row],[تأمين حياة
 (IQD) سنوي]]+Table1[[#This Row],[نفقة شرعية
(IQD) سنوي]]</f>
        <v>0</v>
      </c>
      <c r="AL7">
        <f>Table1[[#This Row],[إجمالي
التنزيلات (IQD)]]*Table1[[#This Row],[ ‏عدد الأشهر ]]</f>
        <v>18750</v>
      </c>
      <c r="AM7">
        <f>Table1[[#This Row],[السماح الشهري
(IQD)]]*Table1[[#This Row],[ ‏عدد الأشهر ]]</f>
        <v>208333.33333333334</v>
      </c>
      <c r="AN7">
        <f>Table1[[#This Row],[الوعاء الضريبي
الصافي (IQD)]]*Table1[[#This Row],[ ‏عدد الأشهر ]]</f>
        <v>147916.66666666666</v>
      </c>
    </row>
    <row r="8" spans="1:50" x14ac:dyDescent="0.3">
      <c r="A8" s="33">
        <v>7</v>
      </c>
      <c r="B8" s="3" t="s">
        <v>134</v>
      </c>
      <c r="C8" s="3"/>
      <c r="D8" s="51"/>
      <c r="E8" s="51"/>
      <c r="F8" s="7">
        <f t="shared" si="8"/>
        <v>1</v>
      </c>
      <c r="G8" s="3"/>
      <c r="H8" s="3" t="s">
        <v>183</v>
      </c>
      <c r="I8" s="3"/>
      <c r="J8" s="3" t="s">
        <v>101</v>
      </c>
      <c r="K8" s="3" t="s">
        <v>127</v>
      </c>
      <c r="L8" s="4">
        <v>375000</v>
      </c>
      <c r="M8" s="4">
        <v>0</v>
      </c>
      <c r="N8" s="4">
        <v>0</v>
      </c>
      <c r="O8" s="3" t="s">
        <v>60</v>
      </c>
      <c r="P8" s="5">
        <f t="shared" si="0"/>
        <v>0</v>
      </c>
      <c r="Q8" s="5">
        <f t="shared" si="1"/>
        <v>375000</v>
      </c>
      <c r="R8" s="5">
        <f t="shared" si="2"/>
        <v>0</v>
      </c>
      <c r="S8" s="4">
        <f>IF(Table1[[#This Row],[الراتب الاسمي
(IQD)]]&lt;1750000,L8*5%,1750000*5%)</f>
        <v>18750</v>
      </c>
      <c r="T8" s="4">
        <v>0</v>
      </c>
      <c r="U8" s="4">
        <v>0</v>
      </c>
      <c r="V8" s="5">
        <f t="shared" si="3"/>
        <v>18750</v>
      </c>
      <c r="W8" s="5">
        <f t="shared" si="9"/>
        <v>208333.33333333334</v>
      </c>
      <c r="X8" s="5">
        <f t="shared" si="4"/>
        <v>147916.66666666666</v>
      </c>
      <c r="Y8" s="6">
        <f t="shared" si="5"/>
        <v>15520.839999999998</v>
      </c>
      <c r="Z8" s="6">
        <f t="shared" si="6"/>
        <v>186250.08</v>
      </c>
      <c r="AA8" s="34">
        <f t="shared" si="7"/>
        <v>340729.16</v>
      </c>
      <c r="AB8">
        <f>Table1[[#This Row],[الراتب الاسمي
(IQD)]]*Table1[[#This Row],[ ‏عدد الأشهر ]]</f>
        <v>375000</v>
      </c>
      <c r="AC8">
        <f>Table1[[#This Row],[مخصصات خاضعة
(IQD)]]*Table1[[#This Row],[ ‏عدد الأشهر ]]</f>
        <v>0</v>
      </c>
      <c r="AD8">
        <f>Table1[[#This Row],[مخصصات  سكن/طعام
نقدي (IQD)]]*Table1[[#This Row],[ ‏عدد الأشهر ]]</f>
        <v>0</v>
      </c>
      <c r="AE8">
        <f>Table1[[#This Row],[إضافة السكن
العيني (IQD)]]*Table1[[#This Row],[ ‏عدد الأشهر ]]</f>
        <v>0</v>
      </c>
      <c r="AF8">
        <f>Table1[[#This Row],[الدخل الإجمالي
(IQD)]]*Table1[[#This Row],[ ‏عدد الأشهر ]]</f>
        <v>375000</v>
      </c>
      <c r="AG8">
        <f>Table1[[#This Row],[إعفاء 30%
قطاع خاص (IQD)    ١ ب]]*Table1[[#This Row],[ ‏عدد الأشهر ]]</f>
        <v>0</v>
      </c>
      <c r="AH8">
        <f>Table1[[#This Row],[توقيفات
تقاعدية (IQD)]]*Table1[[#This Row],[ ‏عدد الأشهر ]]</f>
        <v>18750</v>
      </c>
      <c r="AI8">
        <f>Table1[[#This Row],[تأمين حياة
شهري (IQD)]]*Table1[[#This Row],[ ‏عدد الأشهر ]]</f>
        <v>0</v>
      </c>
      <c r="AJ8">
        <f>Table1[[#This Row],[نفقة شرعية
(IQD)]]*Table1[[#This Row],[ ‏عدد الأشهر ]]</f>
        <v>0</v>
      </c>
      <c r="AK8">
        <f>Table1[[#This Row],[تأمين حياة
 (IQD) سنوي]]+Table1[[#This Row],[نفقة شرعية
(IQD) سنوي]]</f>
        <v>0</v>
      </c>
      <c r="AL8">
        <f>Table1[[#This Row],[إجمالي
التنزيلات (IQD)]]*Table1[[#This Row],[ ‏عدد الأشهر ]]</f>
        <v>18750</v>
      </c>
      <c r="AM8">
        <f>Table1[[#This Row],[السماح الشهري
(IQD)]]*Table1[[#This Row],[ ‏عدد الأشهر ]]</f>
        <v>208333.33333333334</v>
      </c>
      <c r="AN8">
        <f>Table1[[#This Row],[الوعاء الضريبي
الصافي (IQD)]]*Table1[[#This Row],[ ‏عدد الأشهر ]]</f>
        <v>147916.66666666666</v>
      </c>
    </row>
    <row r="9" spans="1:50" x14ac:dyDescent="0.3">
      <c r="A9" s="33">
        <v>8</v>
      </c>
      <c r="B9" s="7" t="s">
        <v>135</v>
      </c>
      <c r="C9" s="7"/>
      <c r="D9" s="52"/>
      <c r="E9" s="52"/>
      <c r="F9" s="7">
        <f t="shared" si="8"/>
        <v>1</v>
      </c>
      <c r="G9" s="7"/>
      <c r="H9" s="3" t="s">
        <v>182</v>
      </c>
      <c r="I9" s="7"/>
      <c r="J9" s="3" t="s">
        <v>101</v>
      </c>
      <c r="K9" s="3" t="s">
        <v>127</v>
      </c>
      <c r="L9" s="8">
        <v>375000</v>
      </c>
      <c r="M9" s="8">
        <v>0</v>
      </c>
      <c r="N9" s="8">
        <v>0</v>
      </c>
      <c r="O9" s="7" t="s">
        <v>60</v>
      </c>
      <c r="P9" s="9">
        <f t="shared" si="0"/>
        <v>0</v>
      </c>
      <c r="Q9" s="9">
        <f t="shared" si="1"/>
        <v>375000</v>
      </c>
      <c r="R9" s="9">
        <f t="shared" si="2"/>
        <v>0</v>
      </c>
      <c r="S9" s="4">
        <f>IF(Table1[[#This Row],[الراتب الاسمي
(IQD)]]&lt;1750000,L9*5%,1750000*5%)</f>
        <v>18750</v>
      </c>
      <c r="T9" s="8">
        <v>0</v>
      </c>
      <c r="U9" s="8">
        <v>0</v>
      </c>
      <c r="V9" s="9">
        <f t="shared" si="3"/>
        <v>18750</v>
      </c>
      <c r="W9" s="5">
        <f t="shared" si="9"/>
        <v>375000</v>
      </c>
      <c r="X9" s="9">
        <f t="shared" si="4"/>
        <v>0</v>
      </c>
      <c r="Y9" s="6">
        <f t="shared" si="5"/>
        <v>0</v>
      </c>
      <c r="Z9" s="6">
        <f t="shared" si="6"/>
        <v>0</v>
      </c>
      <c r="AA9" s="34">
        <f t="shared" si="7"/>
        <v>356250</v>
      </c>
      <c r="AB9">
        <f>Table1[[#This Row],[الراتب الاسمي
(IQD)]]*Table1[[#This Row],[ ‏عدد الأشهر ]]</f>
        <v>375000</v>
      </c>
      <c r="AC9">
        <f>Table1[[#This Row],[مخصصات خاضعة
(IQD)]]*Table1[[#This Row],[ ‏عدد الأشهر ]]</f>
        <v>0</v>
      </c>
      <c r="AD9">
        <f>Table1[[#This Row],[مخصصات  سكن/طعام
نقدي (IQD)]]*Table1[[#This Row],[ ‏عدد الأشهر ]]</f>
        <v>0</v>
      </c>
      <c r="AE9">
        <f>Table1[[#This Row],[إضافة السكن
العيني (IQD)]]*Table1[[#This Row],[ ‏عدد الأشهر ]]</f>
        <v>0</v>
      </c>
      <c r="AF9">
        <f>Table1[[#This Row],[الدخل الإجمالي
(IQD)]]*Table1[[#This Row],[ ‏عدد الأشهر ]]</f>
        <v>375000</v>
      </c>
      <c r="AG9">
        <f>Table1[[#This Row],[إعفاء 30%
قطاع خاص (IQD)    ١ ب]]*Table1[[#This Row],[ ‏عدد الأشهر ]]</f>
        <v>0</v>
      </c>
      <c r="AH9">
        <f>Table1[[#This Row],[توقيفات
تقاعدية (IQD)]]*Table1[[#This Row],[ ‏عدد الأشهر ]]</f>
        <v>18750</v>
      </c>
      <c r="AI9">
        <f>Table1[[#This Row],[تأمين حياة
شهري (IQD)]]*Table1[[#This Row],[ ‏عدد الأشهر ]]</f>
        <v>0</v>
      </c>
      <c r="AJ9">
        <f>Table1[[#This Row],[نفقة شرعية
(IQD)]]*Table1[[#This Row],[ ‏عدد الأشهر ]]</f>
        <v>0</v>
      </c>
      <c r="AK9">
        <f>Table1[[#This Row],[تأمين حياة
 (IQD) سنوي]]+Table1[[#This Row],[نفقة شرعية
(IQD) سنوي]]</f>
        <v>0</v>
      </c>
      <c r="AL9">
        <f>Table1[[#This Row],[إجمالي
التنزيلات (IQD)]]*Table1[[#This Row],[ ‏عدد الأشهر ]]</f>
        <v>18750</v>
      </c>
      <c r="AM9">
        <f>Table1[[#This Row],[السماح الشهري
(IQD)]]*Table1[[#This Row],[ ‏عدد الأشهر ]]</f>
        <v>375000</v>
      </c>
      <c r="AN9">
        <f>Table1[[#This Row],[الوعاء الضريبي
الصافي (IQD)]]*Table1[[#This Row],[ ‏عدد الأشهر ]]</f>
        <v>0</v>
      </c>
    </row>
    <row r="10" spans="1:50" x14ac:dyDescent="0.3">
      <c r="A10" s="33">
        <v>9</v>
      </c>
      <c r="B10" s="3" t="s">
        <v>136</v>
      </c>
      <c r="C10" s="3"/>
      <c r="D10" s="51"/>
      <c r="E10" s="51"/>
      <c r="F10" s="7">
        <f t="shared" si="8"/>
        <v>1</v>
      </c>
      <c r="G10" s="3"/>
      <c r="H10" s="3" t="s">
        <v>182</v>
      </c>
      <c r="I10" s="3"/>
      <c r="J10" s="3" t="s">
        <v>101</v>
      </c>
      <c r="K10" s="3" t="s">
        <v>127</v>
      </c>
      <c r="L10" s="4">
        <v>375000</v>
      </c>
      <c r="M10" s="4">
        <v>0</v>
      </c>
      <c r="N10" s="4">
        <v>0</v>
      </c>
      <c r="O10" s="3" t="s">
        <v>60</v>
      </c>
      <c r="P10" s="5">
        <f t="shared" si="0"/>
        <v>0</v>
      </c>
      <c r="Q10" s="5">
        <f t="shared" si="1"/>
        <v>375000</v>
      </c>
      <c r="R10" s="5">
        <f t="shared" si="2"/>
        <v>0</v>
      </c>
      <c r="S10" s="4">
        <f>IF(Table1[[#This Row],[الراتب الاسمي
(IQD)]]&lt;1750000,L10*5%,1750000*5%)</f>
        <v>18750</v>
      </c>
      <c r="T10" s="4">
        <v>0</v>
      </c>
      <c r="U10" s="4">
        <v>0</v>
      </c>
      <c r="V10" s="5">
        <f t="shared" si="3"/>
        <v>18750</v>
      </c>
      <c r="W10" s="5">
        <f t="shared" si="9"/>
        <v>375000</v>
      </c>
      <c r="X10" s="5">
        <f t="shared" si="4"/>
        <v>0</v>
      </c>
      <c r="Y10" s="6">
        <f t="shared" si="5"/>
        <v>0</v>
      </c>
      <c r="Z10" s="6">
        <f t="shared" si="6"/>
        <v>0</v>
      </c>
      <c r="AA10" s="34">
        <f t="shared" si="7"/>
        <v>356250</v>
      </c>
      <c r="AB10">
        <f>Table1[[#This Row],[الراتب الاسمي
(IQD)]]*Table1[[#This Row],[ ‏عدد الأشهر ]]</f>
        <v>375000</v>
      </c>
      <c r="AC10">
        <f>Table1[[#This Row],[مخصصات خاضعة
(IQD)]]*Table1[[#This Row],[ ‏عدد الأشهر ]]</f>
        <v>0</v>
      </c>
      <c r="AD10">
        <f>Table1[[#This Row],[مخصصات  سكن/طعام
نقدي (IQD)]]*Table1[[#This Row],[ ‏عدد الأشهر ]]</f>
        <v>0</v>
      </c>
      <c r="AE10">
        <f>Table1[[#This Row],[إضافة السكن
العيني (IQD)]]*Table1[[#This Row],[ ‏عدد الأشهر ]]</f>
        <v>0</v>
      </c>
      <c r="AF10">
        <f>Table1[[#This Row],[الدخل الإجمالي
(IQD)]]*Table1[[#This Row],[ ‏عدد الأشهر ]]</f>
        <v>375000</v>
      </c>
      <c r="AG10">
        <f>Table1[[#This Row],[إعفاء 30%
قطاع خاص (IQD)    ١ ب]]*Table1[[#This Row],[ ‏عدد الأشهر ]]</f>
        <v>0</v>
      </c>
      <c r="AH10">
        <f>Table1[[#This Row],[توقيفات
تقاعدية (IQD)]]*Table1[[#This Row],[ ‏عدد الأشهر ]]</f>
        <v>18750</v>
      </c>
      <c r="AI10">
        <f>Table1[[#This Row],[تأمين حياة
شهري (IQD)]]*Table1[[#This Row],[ ‏عدد الأشهر ]]</f>
        <v>0</v>
      </c>
      <c r="AJ10">
        <f>Table1[[#This Row],[نفقة شرعية
(IQD)]]*Table1[[#This Row],[ ‏عدد الأشهر ]]</f>
        <v>0</v>
      </c>
      <c r="AK10">
        <f>Table1[[#This Row],[تأمين حياة
 (IQD) سنوي]]+Table1[[#This Row],[نفقة شرعية
(IQD) سنوي]]</f>
        <v>0</v>
      </c>
      <c r="AL10">
        <f>Table1[[#This Row],[إجمالي
التنزيلات (IQD)]]*Table1[[#This Row],[ ‏عدد الأشهر ]]</f>
        <v>18750</v>
      </c>
      <c r="AM10">
        <f>Table1[[#This Row],[السماح الشهري
(IQD)]]*Table1[[#This Row],[ ‏عدد الأشهر ]]</f>
        <v>375000</v>
      </c>
      <c r="AN10">
        <f>Table1[[#This Row],[الوعاء الضريبي
الصافي (IQD)]]*Table1[[#This Row],[ ‏عدد الأشهر ]]</f>
        <v>0</v>
      </c>
    </row>
    <row r="11" spans="1:50" x14ac:dyDescent="0.3">
      <c r="A11" s="33">
        <v>10</v>
      </c>
      <c r="B11" s="7" t="s">
        <v>137</v>
      </c>
      <c r="C11" s="7"/>
      <c r="D11" s="52"/>
      <c r="E11" s="52"/>
      <c r="F11" s="7">
        <f t="shared" si="8"/>
        <v>1</v>
      </c>
      <c r="G11" s="7"/>
      <c r="H11" s="3" t="s">
        <v>183</v>
      </c>
      <c r="I11" s="7"/>
      <c r="J11" s="3" t="s">
        <v>101</v>
      </c>
      <c r="K11" s="3" t="s">
        <v>127</v>
      </c>
      <c r="L11" s="8">
        <v>500000</v>
      </c>
      <c r="M11" s="8">
        <v>0</v>
      </c>
      <c r="N11" s="8">
        <v>0</v>
      </c>
      <c r="O11" s="7" t="s">
        <v>60</v>
      </c>
      <c r="P11" s="9">
        <f t="shared" si="0"/>
        <v>0</v>
      </c>
      <c r="Q11" s="9">
        <f t="shared" si="1"/>
        <v>500000</v>
      </c>
      <c r="R11" s="9">
        <f t="shared" si="2"/>
        <v>0</v>
      </c>
      <c r="S11" s="4">
        <f>IF(Table1[[#This Row],[الراتب الاسمي
(IQD)]]&lt;1750000,L11*5%,1750000*5%)</f>
        <v>25000</v>
      </c>
      <c r="T11" s="8">
        <v>0</v>
      </c>
      <c r="U11" s="8">
        <v>0</v>
      </c>
      <c r="V11" s="9">
        <f t="shared" si="3"/>
        <v>25000</v>
      </c>
      <c r="W11" s="5">
        <f t="shared" si="9"/>
        <v>208333.33333333334</v>
      </c>
      <c r="X11" s="9">
        <f t="shared" si="4"/>
        <v>266666.66666666663</v>
      </c>
      <c r="Y11" s="6">
        <f t="shared" si="5"/>
        <v>33333.339999999997</v>
      </c>
      <c r="Z11" s="6">
        <f t="shared" si="6"/>
        <v>400000.07999999996</v>
      </c>
      <c r="AA11" s="34">
        <f t="shared" si="7"/>
        <v>441666.66000000003</v>
      </c>
      <c r="AB11">
        <f>Table1[[#This Row],[الراتب الاسمي
(IQD)]]*Table1[[#This Row],[ ‏عدد الأشهر ]]</f>
        <v>500000</v>
      </c>
      <c r="AC11">
        <f>Table1[[#This Row],[مخصصات خاضعة
(IQD)]]*Table1[[#This Row],[ ‏عدد الأشهر ]]</f>
        <v>0</v>
      </c>
      <c r="AD11">
        <f>Table1[[#This Row],[مخصصات  سكن/طعام
نقدي (IQD)]]*Table1[[#This Row],[ ‏عدد الأشهر ]]</f>
        <v>0</v>
      </c>
      <c r="AE11">
        <f>Table1[[#This Row],[إضافة السكن
العيني (IQD)]]*Table1[[#This Row],[ ‏عدد الأشهر ]]</f>
        <v>0</v>
      </c>
      <c r="AF11">
        <f>Table1[[#This Row],[الدخل الإجمالي
(IQD)]]*Table1[[#This Row],[ ‏عدد الأشهر ]]</f>
        <v>500000</v>
      </c>
      <c r="AG11">
        <f>Table1[[#This Row],[إعفاء 30%
قطاع خاص (IQD)    ١ ب]]*Table1[[#This Row],[ ‏عدد الأشهر ]]</f>
        <v>0</v>
      </c>
      <c r="AH11">
        <f>Table1[[#This Row],[توقيفات
تقاعدية (IQD)]]*Table1[[#This Row],[ ‏عدد الأشهر ]]</f>
        <v>25000</v>
      </c>
      <c r="AI11">
        <f>Table1[[#This Row],[تأمين حياة
شهري (IQD)]]*Table1[[#This Row],[ ‏عدد الأشهر ]]</f>
        <v>0</v>
      </c>
      <c r="AJ11">
        <f>Table1[[#This Row],[نفقة شرعية
(IQD)]]*Table1[[#This Row],[ ‏عدد الأشهر ]]</f>
        <v>0</v>
      </c>
      <c r="AK11">
        <f>Table1[[#This Row],[تأمين حياة
 (IQD) سنوي]]+Table1[[#This Row],[نفقة شرعية
(IQD) سنوي]]</f>
        <v>0</v>
      </c>
      <c r="AL11">
        <f>Table1[[#This Row],[إجمالي
التنزيلات (IQD)]]*Table1[[#This Row],[ ‏عدد الأشهر ]]</f>
        <v>25000</v>
      </c>
      <c r="AM11">
        <f>Table1[[#This Row],[السماح الشهري
(IQD)]]*Table1[[#This Row],[ ‏عدد الأشهر ]]</f>
        <v>208333.33333333334</v>
      </c>
      <c r="AN11">
        <f>Table1[[#This Row],[الوعاء الضريبي
الصافي (IQD)]]*Table1[[#This Row],[ ‏عدد الأشهر ]]</f>
        <v>266666.66666666663</v>
      </c>
    </row>
    <row r="12" spans="1:50" x14ac:dyDescent="0.3">
      <c r="A12" s="33">
        <v>11</v>
      </c>
      <c r="B12" s="3" t="s">
        <v>138</v>
      </c>
      <c r="C12" s="3"/>
      <c r="D12" s="51"/>
      <c r="E12" s="51"/>
      <c r="F12" s="7">
        <f t="shared" si="8"/>
        <v>1</v>
      </c>
      <c r="G12" s="3"/>
      <c r="H12" s="3" t="s">
        <v>182</v>
      </c>
      <c r="I12" s="3"/>
      <c r="J12" s="3" t="s">
        <v>101</v>
      </c>
      <c r="K12" s="3" t="s">
        <v>127</v>
      </c>
      <c r="L12" s="4">
        <v>375000</v>
      </c>
      <c r="M12" s="4">
        <v>0</v>
      </c>
      <c r="N12" s="4">
        <v>0</v>
      </c>
      <c r="O12" s="3" t="s">
        <v>60</v>
      </c>
      <c r="P12" s="5">
        <f t="shared" si="0"/>
        <v>0</v>
      </c>
      <c r="Q12" s="5">
        <f t="shared" si="1"/>
        <v>375000</v>
      </c>
      <c r="R12" s="5">
        <f t="shared" si="2"/>
        <v>0</v>
      </c>
      <c r="S12" s="4">
        <f>IF(Table1[[#This Row],[الراتب الاسمي
(IQD)]]&lt;1750000,L12*5%,1750000*5%)</f>
        <v>18750</v>
      </c>
      <c r="T12" s="4">
        <v>0</v>
      </c>
      <c r="U12" s="4">
        <v>0</v>
      </c>
      <c r="V12" s="5">
        <f t="shared" si="3"/>
        <v>18750</v>
      </c>
      <c r="W12" s="5">
        <f t="shared" si="9"/>
        <v>375000</v>
      </c>
      <c r="X12" s="5">
        <f t="shared" si="4"/>
        <v>0</v>
      </c>
      <c r="Y12" s="6">
        <f t="shared" si="5"/>
        <v>0</v>
      </c>
      <c r="Z12" s="6">
        <f t="shared" si="6"/>
        <v>0</v>
      </c>
      <c r="AA12" s="34">
        <f t="shared" si="7"/>
        <v>356250</v>
      </c>
      <c r="AB12">
        <f>Table1[[#This Row],[الراتب الاسمي
(IQD)]]*Table1[[#This Row],[ ‏عدد الأشهر ]]</f>
        <v>375000</v>
      </c>
      <c r="AC12">
        <f>Table1[[#This Row],[مخصصات خاضعة
(IQD)]]*Table1[[#This Row],[ ‏عدد الأشهر ]]</f>
        <v>0</v>
      </c>
      <c r="AD12">
        <f>Table1[[#This Row],[مخصصات  سكن/طعام
نقدي (IQD)]]*Table1[[#This Row],[ ‏عدد الأشهر ]]</f>
        <v>0</v>
      </c>
      <c r="AE12">
        <f>Table1[[#This Row],[إضافة السكن
العيني (IQD)]]*Table1[[#This Row],[ ‏عدد الأشهر ]]</f>
        <v>0</v>
      </c>
      <c r="AF12">
        <f>Table1[[#This Row],[الدخل الإجمالي
(IQD)]]*Table1[[#This Row],[ ‏عدد الأشهر ]]</f>
        <v>375000</v>
      </c>
      <c r="AG12">
        <f>Table1[[#This Row],[إعفاء 30%
قطاع خاص (IQD)    ١ ب]]*Table1[[#This Row],[ ‏عدد الأشهر ]]</f>
        <v>0</v>
      </c>
      <c r="AH12">
        <f>Table1[[#This Row],[توقيفات
تقاعدية (IQD)]]*Table1[[#This Row],[ ‏عدد الأشهر ]]</f>
        <v>18750</v>
      </c>
      <c r="AI12">
        <f>Table1[[#This Row],[تأمين حياة
شهري (IQD)]]*Table1[[#This Row],[ ‏عدد الأشهر ]]</f>
        <v>0</v>
      </c>
      <c r="AJ12">
        <f>Table1[[#This Row],[نفقة شرعية
(IQD)]]*Table1[[#This Row],[ ‏عدد الأشهر ]]</f>
        <v>0</v>
      </c>
      <c r="AK12">
        <f>Table1[[#This Row],[تأمين حياة
 (IQD) سنوي]]+Table1[[#This Row],[نفقة شرعية
(IQD) سنوي]]</f>
        <v>0</v>
      </c>
      <c r="AL12">
        <f>Table1[[#This Row],[إجمالي
التنزيلات (IQD)]]*Table1[[#This Row],[ ‏عدد الأشهر ]]</f>
        <v>18750</v>
      </c>
      <c r="AM12">
        <f>Table1[[#This Row],[السماح الشهري
(IQD)]]*Table1[[#This Row],[ ‏عدد الأشهر ]]</f>
        <v>375000</v>
      </c>
      <c r="AN12">
        <f>Table1[[#This Row],[الوعاء الضريبي
الصافي (IQD)]]*Table1[[#This Row],[ ‏عدد الأشهر ]]</f>
        <v>0</v>
      </c>
    </row>
    <row r="13" spans="1:50" x14ac:dyDescent="0.3">
      <c r="A13" s="33">
        <v>12</v>
      </c>
      <c r="B13" s="7" t="s">
        <v>139</v>
      </c>
      <c r="C13" s="7"/>
      <c r="D13" s="52"/>
      <c r="E13" s="52"/>
      <c r="F13" s="7">
        <f t="shared" si="8"/>
        <v>1</v>
      </c>
      <c r="G13" s="7"/>
      <c r="H13" s="3" t="s">
        <v>183</v>
      </c>
      <c r="I13" s="7"/>
      <c r="J13" s="3" t="s">
        <v>101</v>
      </c>
      <c r="K13" s="3" t="s">
        <v>127</v>
      </c>
      <c r="L13" s="8">
        <v>450000</v>
      </c>
      <c r="M13" s="8">
        <v>0</v>
      </c>
      <c r="N13" s="8">
        <v>0</v>
      </c>
      <c r="O13" s="7" t="s">
        <v>60</v>
      </c>
      <c r="P13" s="9">
        <f t="shared" si="0"/>
        <v>0</v>
      </c>
      <c r="Q13" s="9">
        <f t="shared" si="1"/>
        <v>450000</v>
      </c>
      <c r="R13" s="9">
        <f t="shared" si="2"/>
        <v>0</v>
      </c>
      <c r="S13" s="4">
        <f>IF(Table1[[#This Row],[الراتب الاسمي
(IQD)]]&lt;1750000,L13*5%,1750000*5%)</f>
        <v>22500</v>
      </c>
      <c r="T13" s="8">
        <v>0</v>
      </c>
      <c r="U13" s="8">
        <v>0</v>
      </c>
      <c r="V13" s="9">
        <f t="shared" si="3"/>
        <v>22500</v>
      </c>
      <c r="W13" s="5">
        <f t="shared" si="9"/>
        <v>208333.33333333334</v>
      </c>
      <c r="X13" s="9">
        <f t="shared" si="4"/>
        <v>219166.66666666666</v>
      </c>
      <c r="Y13" s="6">
        <f t="shared" si="5"/>
        <v>26208.34</v>
      </c>
      <c r="Z13" s="6">
        <f t="shared" si="6"/>
        <v>314500.08</v>
      </c>
      <c r="AA13" s="34">
        <f t="shared" si="7"/>
        <v>401291.66</v>
      </c>
      <c r="AB13">
        <f>Table1[[#This Row],[الراتب الاسمي
(IQD)]]*Table1[[#This Row],[ ‏عدد الأشهر ]]</f>
        <v>450000</v>
      </c>
      <c r="AC13">
        <f>Table1[[#This Row],[مخصصات خاضعة
(IQD)]]*Table1[[#This Row],[ ‏عدد الأشهر ]]</f>
        <v>0</v>
      </c>
      <c r="AD13">
        <f>Table1[[#This Row],[مخصصات  سكن/طعام
نقدي (IQD)]]*Table1[[#This Row],[ ‏عدد الأشهر ]]</f>
        <v>0</v>
      </c>
      <c r="AE13">
        <f>Table1[[#This Row],[إضافة السكن
العيني (IQD)]]*Table1[[#This Row],[ ‏عدد الأشهر ]]</f>
        <v>0</v>
      </c>
      <c r="AF13">
        <f>Table1[[#This Row],[الدخل الإجمالي
(IQD)]]*Table1[[#This Row],[ ‏عدد الأشهر ]]</f>
        <v>450000</v>
      </c>
      <c r="AG13">
        <f>Table1[[#This Row],[إعفاء 30%
قطاع خاص (IQD)    ١ ب]]*Table1[[#This Row],[ ‏عدد الأشهر ]]</f>
        <v>0</v>
      </c>
      <c r="AH13">
        <f>Table1[[#This Row],[توقيفات
تقاعدية (IQD)]]*Table1[[#This Row],[ ‏عدد الأشهر ]]</f>
        <v>22500</v>
      </c>
      <c r="AI13">
        <f>Table1[[#This Row],[تأمين حياة
شهري (IQD)]]*Table1[[#This Row],[ ‏عدد الأشهر ]]</f>
        <v>0</v>
      </c>
      <c r="AJ13">
        <f>Table1[[#This Row],[نفقة شرعية
(IQD)]]*Table1[[#This Row],[ ‏عدد الأشهر ]]</f>
        <v>0</v>
      </c>
      <c r="AK13">
        <f>Table1[[#This Row],[تأمين حياة
 (IQD) سنوي]]+Table1[[#This Row],[نفقة شرعية
(IQD) سنوي]]</f>
        <v>0</v>
      </c>
      <c r="AL13">
        <f>Table1[[#This Row],[إجمالي
التنزيلات (IQD)]]*Table1[[#This Row],[ ‏عدد الأشهر ]]</f>
        <v>22500</v>
      </c>
      <c r="AM13">
        <f>Table1[[#This Row],[السماح الشهري
(IQD)]]*Table1[[#This Row],[ ‏عدد الأشهر ]]</f>
        <v>208333.33333333334</v>
      </c>
      <c r="AN13">
        <f>Table1[[#This Row],[الوعاء الضريبي
الصافي (IQD)]]*Table1[[#This Row],[ ‏عدد الأشهر ]]</f>
        <v>219166.66666666666</v>
      </c>
    </row>
    <row r="14" spans="1:50" x14ac:dyDescent="0.3">
      <c r="A14" s="33">
        <v>13</v>
      </c>
      <c r="B14" s="3" t="s">
        <v>140</v>
      </c>
      <c r="C14" s="3"/>
      <c r="D14" s="51"/>
      <c r="E14" s="51"/>
      <c r="F14" s="7">
        <f t="shared" si="8"/>
        <v>1</v>
      </c>
      <c r="G14" s="3"/>
      <c r="H14" s="3" t="s">
        <v>183</v>
      </c>
      <c r="I14" s="3"/>
      <c r="J14" s="3" t="s">
        <v>101</v>
      </c>
      <c r="K14" s="3" t="s">
        <v>127</v>
      </c>
      <c r="L14" s="4">
        <v>370000</v>
      </c>
      <c r="M14" s="4">
        <v>0</v>
      </c>
      <c r="N14" s="4">
        <v>0</v>
      </c>
      <c r="O14" s="3" t="s">
        <v>60</v>
      </c>
      <c r="P14" s="5">
        <f t="shared" si="0"/>
        <v>0</v>
      </c>
      <c r="Q14" s="5">
        <f t="shared" si="1"/>
        <v>370000</v>
      </c>
      <c r="R14" s="5">
        <f t="shared" si="2"/>
        <v>0</v>
      </c>
      <c r="S14" s="4">
        <f>IF(Table1[[#This Row],[الراتب الاسمي
(IQD)]]&lt;1750000,L14*5%,1750000*5%)</f>
        <v>18500</v>
      </c>
      <c r="T14" s="4">
        <v>0</v>
      </c>
      <c r="U14" s="4">
        <v>0</v>
      </c>
      <c r="V14" s="5">
        <f t="shared" si="3"/>
        <v>18500</v>
      </c>
      <c r="W14" s="5">
        <f t="shared" si="9"/>
        <v>208333.33333333334</v>
      </c>
      <c r="X14" s="5">
        <f t="shared" si="4"/>
        <v>143166.66666666666</v>
      </c>
      <c r="Y14" s="6">
        <f t="shared" si="5"/>
        <v>14808.339999999998</v>
      </c>
      <c r="Z14" s="6">
        <f t="shared" si="6"/>
        <v>177700.08</v>
      </c>
      <c r="AA14" s="34">
        <f t="shared" si="7"/>
        <v>336691.66</v>
      </c>
      <c r="AB14">
        <f>Table1[[#This Row],[الراتب الاسمي
(IQD)]]*Table1[[#This Row],[ ‏عدد الأشهر ]]</f>
        <v>370000</v>
      </c>
      <c r="AC14">
        <f>Table1[[#This Row],[مخصصات خاضعة
(IQD)]]*Table1[[#This Row],[ ‏عدد الأشهر ]]</f>
        <v>0</v>
      </c>
      <c r="AD14">
        <f>Table1[[#This Row],[مخصصات  سكن/طعام
نقدي (IQD)]]*Table1[[#This Row],[ ‏عدد الأشهر ]]</f>
        <v>0</v>
      </c>
      <c r="AE14">
        <f>Table1[[#This Row],[إضافة السكن
العيني (IQD)]]*Table1[[#This Row],[ ‏عدد الأشهر ]]</f>
        <v>0</v>
      </c>
      <c r="AF14">
        <f>Table1[[#This Row],[الدخل الإجمالي
(IQD)]]*Table1[[#This Row],[ ‏عدد الأشهر ]]</f>
        <v>370000</v>
      </c>
      <c r="AG14">
        <f>Table1[[#This Row],[إعفاء 30%
قطاع خاص (IQD)    ١ ب]]*Table1[[#This Row],[ ‏عدد الأشهر ]]</f>
        <v>0</v>
      </c>
      <c r="AH14">
        <f>Table1[[#This Row],[توقيفات
تقاعدية (IQD)]]*Table1[[#This Row],[ ‏عدد الأشهر ]]</f>
        <v>18500</v>
      </c>
      <c r="AI14">
        <f>Table1[[#This Row],[تأمين حياة
شهري (IQD)]]*Table1[[#This Row],[ ‏عدد الأشهر ]]</f>
        <v>0</v>
      </c>
      <c r="AJ14">
        <f>Table1[[#This Row],[نفقة شرعية
(IQD)]]*Table1[[#This Row],[ ‏عدد الأشهر ]]</f>
        <v>0</v>
      </c>
      <c r="AK14">
        <f>Table1[[#This Row],[تأمين حياة
 (IQD) سنوي]]+Table1[[#This Row],[نفقة شرعية
(IQD) سنوي]]</f>
        <v>0</v>
      </c>
      <c r="AL14">
        <f>Table1[[#This Row],[إجمالي
التنزيلات (IQD)]]*Table1[[#This Row],[ ‏عدد الأشهر ]]</f>
        <v>18500</v>
      </c>
      <c r="AM14">
        <f>Table1[[#This Row],[السماح الشهري
(IQD)]]*Table1[[#This Row],[ ‏عدد الأشهر ]]</f>
        <v>208333.33333333334</v>
      </c>
      <c r="AN14">
        <f>Table1[[#This Row],[الوعاء الضريبي
الصافي (IQD)]]*Table1[[#This Row],[ ‏عدد الأشهر ]]</f>
        <v>143166.66666666666</v>
      </c>
    </row>
    <row r="15" spans="1:50" x14ac:dyDescent="0.3">
      <c r="A15" s="33">
        <v>14</v>
      </c>
      <c r="B15" s="7" t="s">
        <v>141</v>
      </c>
      <c r="C15" s="7"/>
      <c r="D15" s="52"/>
      <c r="E15" s="52"/>
      <c r="F15" s="7">
        <f t="shared" si="8"/>
        <v>1</v>
      </c>
      <c r="G15" s="7"/>
      <c r="H15" s="3" t="s">
        <v>182</v>
      </c>
      <c r="I15" s="7"/>
      <c r="J15" s="3" t="s">
        <v>101</v>
      </c>
      <c r="K15" s="3" t="s">
        <v>127</v>
      </c>
      <c r="L15" s="8">
        <v>370000</v>
      </c>
      <c r="M15" s="8">
        <v>0</v>
      </c>
      <c r="N15" s="8">
        <v>0</v>
      </c>
      <c r="O15" s="7" t="s">
        <v>60</v>
      </c>
      <c r="P15" s="9">
        <f t="shared" si="0"/>
        <v>0</v>
      </c>
      <c r="Q15" s="9">
        <f t="shared" si="1"/>
        <v>370000</v>
      </c>
      <c r="R15" s="9">
        <f t="shared" si="2"/>
        <v>0</v>
      </c>
      <c r="S15" s="4">
        <f>IF(Table1[[#This Row],[الراتب الاسمي
(IQD)]]&lt;1750000,L15*5%,1750000*5%)</f>
        <v>18500</v>
      </c>
      <c r="T15" s="8">
        <v>0</v>
      </c>
      <c r="U15" s="8">
        <v>0</v>
      </c>
      <c r="V15" s="9">
        <f t="shared" si="3"/>
        <v>18500</v>
      </c>
      <c r="W15" s="5">
        <f t="shared" si="9"/>
        <v>375000</v>
      </c>
      <c r="X15" s="9">
        <f t="shared" si="4"/>
        <v>0</v>
      </c>
      <c r="Y15" s="6">
        <f t="shared" si="5"/>
        <v>0</v>
      </c>
      <c r="Z15" s="6">
        <f t="shared" si="6"/>
        <v>0</v>
      </c>
      <c r="AA15" s="34">
        <f t="shared" si="7"/>
        <v>351500</v>
      </c>
      <c r="AB15">
        <f>Table1[[#This Row],[الراتب الاسمي
(IQD)]]*Table1[[#This Row],[ ‏عدد الأشهر ]]</f>
        <v>370000</v>
      </c>
      <c r="AC15">
        <f>Table1[[#This Row],[مخصصات خاضعة
(IQD)]]*Table1[[#This Row],[ ‏عدد الأشهر ]]</f>
        <v>0</v>
      </c>
      <c r="AD15">
        <f>Table1[[#This Row],[مخصصات  سكن/طعام
نقدي (IQD)]]*Table1[[#This Row],[ ‏عدد الأشهر ]]</f>
        <v>0</v>
      </c>
      <c r="AE15">
        <f>Table1[[#This Row],[إضافة السكن
العيني (IQD)]]*Table1[[#This Row],[ ‏عدد الأشهر ]]</f>
        <v>0</v>
      </c>
      <c r="AF15">
        <f>Table1[[#This Row],[الدخل الإجمالي
(IQD)]]*Table1[[#This Row],[ ‏عدد الأشهر ]]</f>
        <v>370000</v>
      </c>
      <c r="AG15">
        <f>Table1[[#This Row],[إعفاء 30%
قطاع خاص (IQD)    ١ ب]]*Table1[[#This Row],[ ‏عدد الأشهر ]]</f>
        <v>0</v>
      </c>
      <c r="AH15">
        <f>Table1[[#This Row],[توقيفات
تقاعدية (IQD)]]*Table1[[#This Row],[ ‏عدد الأشهر ]]</f>
        <v>18500</v>
      </c>
      <c r="AI15">
        <f>Table1[[#This Row],[تأمين حياة
شهري (IQD)]]*Table1[[#This Row],[ ‏عدد الأشهر ]]</f>
        <v>0</v>
      </c>
      <c r="AJ15">
        <f>Table1[[#This Row],[نفقة شرعية
(IQD)]]*Table1[[#This Row],[ ‏عدد الأشهر ]]</f>
        <v>0</v>
      </c>
      <c r="AK15">
        <f>Table1[[#This Row],[تأمين حياة
 (IQD) سنوي]]+Table1[[#This Row],[نفقة شرعية
(IQD) سنوي]]</f>
        <v>0</v>
      </c>
      <c r="AL15">
        <f>Table1[[#This Row],[إجمالي
التنزيلات (IQD)]]*Table1[[#This Row],[ ‏عدد الأشهر ]]</f>
        <v>18500</v>
      </c>
      <c r="AM15">
        <f>Table1[[#This Row],[السماح الشهري
(IQD)]]*Table1[[#This Row],[ ‏عدد الأشهر ]]</f>
        <v>375000</v>
      </c>
      <c r="AN15">
        <f>Table1[[#This Row],[الوعاء الضريبي
الصافي (IQD)]]*Table1[[#This Row],[ ‏عدد الأشهر ]]</f>
        <v>0</v>
      </c>
    </row>
    <row r="16" spans="1:50" x14ac:dyDescent="0.3">
      <c r="A16" s="33">
        <v>15</v>
      </c>
      <c r="B16" s="3" t="s">
        <v>142</v>
      </c>
      <c r="C16" s="3"/>
      <c r="D16" s="51"/>
      <c r="E16" s="51"/>
      <c r="F16" s="7">
        <f t="shared" si="8"/>
        <v>1</v>
      </c>
      <c r="G16" s="3"/>
      <c r="H16" s="3" t="s">
        <v>183</v>
      </c>
      <c r="I16" s="3"/>
      <c r="J16" s="3" t="s">
        <v>101</v>
      </c>
      <c r="K16" s="3" t="s">
        <v>127</v>
      </c>
      <c r="L16" s="4">
        <v>370000</v>
      </c>
      <c r="M16" s="4">
        <v>0</v>
      </c>
      <c r="N16" s="4">
        <v>0</v>
      </c>
      <c r="O16" s="3" t="s">
        <v>60</v>
      </c>
      <c r="P16" s="5">
        <f t="shared" si="0"/>
        <v>0</v>
      </c>
      <c r="Q16" s="5">
        <f t="shared" si="1"/>
        <v>370000</v>
      </c>
      <c r="R16" s="5">
        <f t="shared" si="2"/>
        <v>0</v>
      </c>
      <c r="S16" s="4">
        <f>IF(Table1[[#This Row],[الراتب الاسمي
(IQD)]]&lt;1750000,L16*5%,1750000*5%)</f>
        <v>18500</v>
      </c>
      <c r="T16" s="4">
        <v>0</v>
      </c>
      <c r="U16" s="4">
        <v>0</v>
      </c>
      <c r="V16" s="5">
        <f t="shared" si="3"/>
        <v>18500</v>
      </c>
      <c r="W16" s="5">
        <f t="shared" si="9"/>
        <v>208333.33333333334</v>
      </c>
      <c r="X16" s="5">
        <f t="shared" si="4"/>
        <v>143166.66666666666</v>
      </c>
      <c r="Y16" s="6">
        <f t="shared" si="5"/>
        <v>14808.339999999998</v>
      </c>
      <c r="Z16" s="6">
        <f t="shared" si="6"/>
        <v>177700.08</v>
      </c>
      <c r="AA16" s="34">
        <f t="shared" si="7"/>
        <v>336691.66</v>
      </c>
      <c r="AB16">
        <f>Table1[[#This Row],[الراتب الاسمي
(IQD)]]*Table1[[#This Row],[ ‏عدد الأشهر ]]</f>
        <v>370000</v>
      </c>
      <c r="AC16">
        <f>Table1[[#This Row],[مخصصات خاضعة
(IQD)]]*Table1[[#This Row],[ ‏عدد الأشهر ]]</f>
        <v>0</v>
      </c>
      <c r="AD16">
        <f>Table1[[#This Row],[مخصصات  سكن/طعام
نقدي (IQD)]]*Table1[[#This Row],[ ‏عدد الأشهر ]]</f>
        <v>0</v>
      </c>
      <c r="AE16">
        <f>Table1[[#This Row],[إضافة السكن
العيني (IQD)]]*Table1[[#This Row],[ ‏عدد الأشهر ]]</f>
        <v>0</v>
      </c>
      <c r="AF16">
        <f>Table1[[#This Row],[الدخل الإجمالي
(IQD)]]*Table1[[#This Row],[ ‏عدد الأشهر ]]</f>
        <v>370000</v>
      </c>
      <c r="AG16">
        <f>Table1[[#This Row],[إعفاء 30%
قطاع خاص (IQD)    ١ ب]]*Table1[[#This Row],[ ‏عدد الأشهر ]]</f>
        <v>0</v>
      </c>
      <c r="AH16">
        <f>Table1[[#This Row],[توقيفات
تقاعدية (IQD)]]*Table1[[#This Row],[ ‏عدد الأشهر ]]</f>
        <v>18500</v>
      </c>
      <c r="AI16">
        <f>Table1[[#This Row],[تأمين حياة
شهري (IQD)]]*Table1[[#This Row],[ ‏عدد الأشهر ]]</f>
        <v>0</v>
      </c>
      <c r="AJ16">
        <f>Table1[[#This Row],[نفقة شرعية
(IQD)]]*Table1[[#This Row],[ ‏عدد الأشهر ]]</f>
        <v>0</v>
      </c>
      <c r="AK16">
        <f>Table1[[#This Row],[تأمين حياة
 (IQD) سنوي]]+Table1[[#This Row],[نفقة شرعية
(IQD) سنوي]]</f>
        <v>0</v>
      </c>
      <c r="AL16">
        <f>Table1[[#This Row],[إجمالي
التنزيلات (IQD)]]*Table1[[#This Row],[ ‏عدد الأشهر ]]</f>
        <v>18500</v>
      </c>
      <c r="AM16">
        <f>Table1[[#This Row],[السماح الشهري
(IQD)]]*Table1[[#This Row],[ ‏عدد الأشهر ]]</f>
        <v>208333.33333333334</v>
      </c>
      <c r="AN16">
        <f>Table1[[#This Row],[الوعاء الضريبي
الصافي (IQD)]]*Table1[[#This Row],[ ‏عدد الأشهر ]]</f>
        <v>143166.66666666666</v>
      </c>
    </row>
    <row r="17" spans="1:50" x14ac:dyDescent="0.3">
      <c r="A17" s="33">
        <v>16</v>
      </c>
      <c r="B17" s="7" t="s">
        <v>143</v>
      </c>
      <c r="C17" s="7"/>
      <c r="D17" s="52"/>
      <c r="E17" s="52"/>
      <c r="F17" s="7">
        <f t="shared" si="8"/>
        <v>1</v>
      </c>
      <c r="G17" s="7"/>
      <c r="H17" s="3" t="s">
        <v>183</v>
      </c>
      <c r="I17" s="7"/>
      <c r="J17" s="3" t="s">
        <v>101</v>
      </c>
      <c r="K17" s="3" t="s">
        <v>127</v>
      </c>
      <c r="L17" s="8">
        <v>370000</v>
      </c>
      <c r="M17" s="8">
        <v>0</v>
      </c>
      <c r="N17" s="8">
        <v>0</v>
      </c>
      <c r="O17" s="7" t="s">
        <v>60</v>
      </c>
      <c r="P17" s="9">
        <f t="shared" si="0"/>
        <v>0</v>
      </c>
      <c r="Q17" s="9">
        <f t="shared" si="1"/>
        <v>370000</v>
      </c>
      <c r="R17" s="9">
        <f t="shared" si="2"/>
        <v>0</v>
      </c>
      <c r="S17" s="4">
        <f>IF(Table1[[#This Row],[الراتب الاسمي
(IQD)]]&lt;1750000,L17*5%,1750000*5%)</f>
        <v>18500</v>
      </c>
      <c r="T17" s="8">
        <v>0</v>
      </c>
      <c r="U17" s="8">
        <v>0</v>
      </c>
      <c r="V17" s="9">
        <f t="shared" si="3"/>
        <v>18500</v>
      </c>
      <c r="W17" s="5">
        <f t="shared" si="9"/>
        <v>208333.33333333334</v>
      </c>
      <c r="X17" s="9">
        <f t="shared" si="4"/>
        <v>143166.66666666666</v>
      </c>
      <c r="Y17" s="6">
        <f t="shared" si="5"/>
        <v>14808.339999999998</v>
      </c>
      <c r="Z17" s="6">
        <f t="shared" si="6"/>
        <v>177700.08</v>
      </c>
      <c r="AA17" s="34">
        <f t="shared" si="7"/>
        <v>336691.66</v>
      </c>
      <c r="AB17">
        <f>Table1[[#This Row],[الراتب الاسمي
(IQD)]]*Table1[[#This Row],[ ‏عدد الأشهر ]]</f>
        <v>370000</v>
      </c>
      <c r="AC17">
        <f>Table1[[#This Row],[مخصصات خاضعة
(IQD)]]*Table1[[#This Row],[ ‏عدد الأشهر ]]</f>
        <v>0</v>
      </c>
      <c r="AD17">
        <f>Table1[[#This Row],[مخصصات  سكن/طعام
نقدي (IQD)]]*Table1[[#This Row],[ ‏عدد الأشهر ]]</f>
        <v>0</v>
      </c>
      <c r="AE17">
        <f>Table1[[#This Row],[إضافة السكن
العيني (IQD)]]*Table1[[#This Row],[ ‏عدد الأشهر ]]</f>
        <v>0</v>
      </c>
      <c r="AF17">
        <f>Table1[[#This Row],[الدخل الإجمالي
(IQD)]]*Table1[[#This Row],[ ‏عدد الأشهر ]]</f>
        <v>370000</v>
      </c>
      <c r="AG17">
        <f>Table1[[#This Row],[إعفاء 30%
قطاع خاص (IQD)    ١ ب]]*Table1[[#This Row],[ ‏عدد الأشهر ]]</f>
        <v>0</v>
      </c>
      <c r="AH17">
        <f>Table1[[#This Row],[توقيفات
تقاعدية (IQD)]]*Table1[[#This Row],[ ‏عدد الأشهر ]]</f>
        <v>18500</v>
      </c>
      <c r="AI17">
        <f>Table1[[#This Row],[تأمين حياة
شهري (IQD)]]*Table1[[#This Row],[ ‏عدد الأشهر ]]</f>
        <v>0</v>
      </c>
      <c r="AJ17">
        <f>Table1[[#This Row],[نفقة شرعية
(IQD)]]*Table1[[#This Row],[ ‏عدد الأشهر ]]</f>
        <v>0</v>
      </c>
      <c r="AK17">
        <f>Table1[[#This Row],[تأمين حياة
 (IQD) سنوي]]+Table1[[#This Row],[نفقة شرعية
(IQD) سنوي]]</f>
        <v>0</v>
      </c>
      <c r="AL17">
        <f>Table1[[#This Row],[إجمالي
التنزيلات (IQD)]]*Table1[[#This Row],[ ‏عدد الأشهر ]]</f>
        <v>18500</v>
      </c>
      <c r="AM17">
        <f>Table1[[#This Row],[السماح الشهري
(IQD)]]*Table1[[#This Row],[ ‏عدد الأشهر ]]</f>
        <v>208333.33333333334</v>
      </c>
      <c r="AN17">
        <f>Table1[[#This Row],[الوعاء الضريبي
الصافي (IQD)]]*Table1[[#This Row],[ ‏عدد الأشهر ]]</f>
        <v>143166.66666666666</v>
      </c>
    </row>
    <row r="18" spans="1:50" x14ac:dyDescent="0.3">
      <c r="A18" s="33">
        <v>17</v>
      </c>
      <c r="B18" s="3" t="s">
        <v>144</v>
      </c>
      <c r="C18" s="3"/>
      <c r="D18" s="51"/>
      <c r="E18" s="51"/>
      <c r="F18" s="7">
        <f t="shared" si="8"/>
        <v>1</v>
      </c>
      <c r="G18" s="3"/>
      <c r="H18" s="3" t="s">
        <v>183</v>
      </c>
      <c r="I18" s="3"/>
      <c r="J18" s="3" t="s">
        <v>101</v>
      </c>
      <c r="K18" s="3" t="s">
        <v>127</v>
      </c>
      <c r="L18" s="4">
        <v>370000</v>
      </c>
      <c r="M18" s="4">
        <v>0</v>
      </c>
      <c r="N18" s="4">
        <v>0</v>
      </c>
      <c r="O18" s="3" t="s">
        <v>60</v>
      </c>
      <c r="P18" s="5">
        <f t="shared" si="0"/>
        <v>0</v>
      </c>
      <c r="Q18" s="5">
        <f t="shared" si="1"/>
        <v>370000</v>
      </c>
      <c r="R18" s="5">
        <f t="shared" si="2"/>
        <v>0</v>
      </c>
      <c r="S18" s="4">
        <f>IF(Table1[[#This Row],[الراتب الاسمي
(IQD)]]&lt;1750000,L18*5%,1750000*5%)</f>
        <v>18500</v>
      </c>
      <c r="T18" s="4">
        <v>0</v>
      </c>
      <c r="U18" s="4">
        <v>0</v>
      </c>
      <c r="V18" s="5">
        <f t="shared" si="3"/>
        <v>18500</v>
      </c>
      <c r="W18" s="5">
        <f t="shared" si="9"/>
        <v>208333.33333333334</v>
      </c>
      <c r="X18" s="5">
        <f t="shared" si="4"/>
        <v>143166.66666666666</v>
      </c>
      <c r="Y18" s="6">
        <f t="shared" si="5"/>
        <v>14808.339999999998</v>
      </c>
      <c r="Z18" s="6">
        <f t="shared" si="6"/>
        <v>177700.08</v>
      </c>
      <c r="AA18" s="34">
        <f t="shared" si="7"/>
        <v>336691.66</v>
      </c>
      <c r="AB18">
        <f>Table1[[#This Row],[الراتب الاسمي
(IQD)]]*Table1[[#This Row],[ ‏عدد الأشهر ]]</f>
        <v>370000</v>
      </c>
      <c r="AC18">
        <f>Table1[[#This Row],[مخصصات خاضعة
(IQD)]]*Table1[[#This Row],[ ‏عدد الأشهر ]]</f>
        <v>0</v>
      </c>
      <c r="AD18">
        <f>Table1[[#This Row],[مخصصات  سكن/طعام
نقدي (IQD)]]*Table1[[#This Row],[ ‏عدد الأشهر ]]</f>
        <v>0</v>
      </c>
      <c r="AE18">
        <f>Table1[[#This Row],[إضافة السكن
العيني (IQD)]]*Table1[[#This Row],[ ‏عدد الأشهر ]]</f>
        <v>0</v>
      </c>
      <c r="AF18">
        <f>Table1[[#This Row],[الدخل الإجمالي
(IQD)]]*Table1[[#This Row],[ ‏عدد الأشهر ]]</f>
        <v>370000</v>
      </c>
      <c r="AG18">
        <f>Table1[[#This Row],[إعفاء 30%
قطاع خاص (IQD)    ١ ب]]*Table1[[#This Row],[ ‏عدد الأشهر ]]</f>
        <v>0</v>
      </c>
      <c r="AH18">
        <f>Table1[[#This Row],[توقيفات
تقاعدية (IQD)]]*Table1[[#This Row],[ ‏عدد الأشهر ]]</f>
        <v>18500</v>
      </c>
      <c r="AI18">
        <f>Table1[[#This Row],[تأمين حياة
شهري (IQD)]]*Table1[[#This Row],[ ‏عدد الأشهر ]]</f>
        <v>0</v>
      </c>
      <c r="AJ18">
        <f>Table1[[#This Row],[نفقة شرعية
(IQD)]]*Table1[[#This Row],[ ‏عدد الأشهر ]]</f>
        <v>0</v>
      </c>
      <c r="AK18">
        <f>Table1[[#This Row],[تأمين حياة
 (IQD) سنوي]]+Table1[[#This Row],[نفقة شرعية
(IQD) سنوي]]</f>
        <v>0</v>
      </c>
      <c r="AL18">
        <f>Table1[[#This Row],[إجمالي
التنزيلات (IQD)]]*Table1[[#This Row],[ ‏عدد الأشهر ]]</f>
        <v>18500</v>
      </c>
      <c r="AM18">
        <f>Table1[[#This Row],[السماح الشهري
(IQD)]]*Table1[[#This Row],[ ‏عدد الأشهر ]]</f>
        <v>208333.33333333334</v>
      </c>
      <c r="AN18">
        <f>Table1[[#This Row],[الوعاء الضريبي
الصافي (IQD)]]*Table1[[#This Row],[ ‏عدد الأشهر ]]</f>
        <v>143166.66666666666</v>
      </c>
    </row>
    <row r="19" spans="1:50" x14ac:dyDescent="0.3">
      <c r="A19" s="33">
        <v>18</v>
      </c>
      <c r="B19" s="7" t="s">
        <v>145</v>
      </c>
      <c r="C19" s="7"/>
      <c r="D19" s="52"/>
      <c r="E19" s="52"/>
      <c r="F19" s="7">
        <f t="shared" si="8"/>
        <v>1</v>
      </c>
      <c r="G19" s="7"/>
      <c r="H19" s="3" t="s">
        <v>183</v>
      </c>
      <c r="I19" s="7"/>
      <c r="J19" s="3" t="s">
        <v>101</v>
      </c>
      <c r="K19" s="3" t="s">
        <v>127</v>
      </c>
      <c r="L19" s="8">
        <v>370000</v>
      </c>
      <c r="M19" s="8">
        <v>0</v>
      </c>
      <c r="N19" s="8">
        <v>0</v>
      </c>
      <c r="O19" s="7" t="s">
        <v>60</v>
      </c>
      <c r="P19" s="9">
        <f t="shared" si="0"/>
        <v>0</v>
      </c>
      <c r="Q19" s="9">
        <f t="shared" si="1"/>
        <v>370000</v>
      </c>
      <c r="R19" s="9">
        <f t="shared" si="2"/>
        <v>0</v>
      </c>
      <c r="S19" s="4">
        <f>IF(Table1[[#This Row],[الراتب الاسمي
(IQD)]]&lt;1750000,L19*5%,1750000*5%)</f>
        <v>18500</v>
      </c>
      <c r="T19" s="8">
        <v>0</v>
      </c>
      <c r="U19" s="8">
        <v>0</v>
      </c>
      <c r="V19" s="9">
        <f t="shared" si="3"/>
        <v>18500</v>
      </c>
      <c r="W19" s="5">
        <f t="shared" si="9"/>
        <v>208333.33333333334</v>
      </c>
      <c r="X19" s="9">
        <f t="shared" si="4"/>
        <v>143166.66666666666</v>
      </c>
      <c r="Y19" s="6">
        <f t="shared" si="5"/>
        <v>14808.339999999998</v>
      </c>
      <c r="Z19" s="6">
        <f t="shared" si="6"/>
        <v>177700.08</v>
      </c>
      <c r="AA19" s="34">
        <f t="shared" si="7"/>
        <v>336691.66</v>
      </c>
      <c r="AB19">
        <f>Table1[[#This Row],[الراتب الاسمي
(IQD)]]*Table1[[#This Row],[ ‏عدد الأشهر ]]</f>
        <v>370000</v>
      </c>
      <c r="AC19">
        <f>Table1[[#This Row],[مخصصات خاضعة
(IQD)]]*Table1[[#This Row],[ ‏عدد الأشهر ]]</f>
        <v>0</v>
      </c>
      <c r="AD19">
        <f>Table1[[#This Row],[مخصصات  سكن/طعام
نقدي (IQD)]]*Table1[[#This Row],[ ‏عدد الأشهر ]]</f>
        <v>0</v>
      </c>
      <c r="AE19">
        <f>Table1[[#This Row],[إضافة السكن
العيني (IQD)]]*Table1[[#This Row],[ ‏عدد الأشهر ]]</f>
        <v>0</v>
      </c>
      <c r="AF19">
        <f>Table1[[#This Row],[الدخل الإجمالي
(IQD)]]*Table1[[#This Row],[ ‏عدد الأشهر ]]</f>
        <v>370000</v>
      </c>
      <c r="AG19">
        <f>Table1[[#This Row],[إعفاء 30%
قطاع خاص (IQD)    ١ ب]]*Table1[[#This Row],[ ‏عدد الأشهر ]]</f>
        <v>0</v>
      </c>
      <c r="AH19">
        <f>Table1[[#This Row],[توقيفات
تقاعدية (IQD)]]*Table1[[#This Row],[ ‏عدد الأشهر ]]</f>
        <v>18500</v>
      </c>
      <c r="AI19">
        <f>Table1[[#This Row],[تأمين حياة
شهري (IQD)]]*Table1[[#This Row],[ ‏عدد الأشهر ]]</f>
        <v>0</v>
      </c>
      <c r="AJ19">
        <f>Table1[[#This Row],[نفقة شرعية
(IQD)]]*Table1[[#This Row],[ ‏عدد الأشهر ]]</f>
        <v>0</v>
      </c>
      <c r="AK19">
        <f>Table1[[#This Row],[تأمين حياة
 (IQD) سنوي]]+Table1[[#This Row],[نفقة شرعية
(IQD) سنوي]]</f>
        <v>0</v>
      </c>
      <c r="AL19">
        <f>Table1[[#This Row],[إجمالي
التنزيلات (IQD)]]*Table1[[#This Row],[ ‏عدد الأشهر ]]</f>
        <v>18500</v>
      </c>
      <c r="AM19">
        <f>Table1[[#This Row],[السماح الشهري
(IQD)]]*Table1[[#This Row],[ ‏عدد الأشهر ]]</f>
        <v>208333.33333333334</v>
      </c>
      <c r="AN19">
        <f>Table1[[#This Row],[الوعاء الضريبي
الصافي (IQD)]]*Table1[[#This Row],[ ‏عدد الأشهر ]]</f>
        <v>143166.66666666666</v>
      </c>
    </row>
    <row r="20" spans="1:50" x14ac:dyDescent="0.3">
      <c r="A20" s="33">
        <v>19</v>
      </c>
      <c r="B20" s="3" t="s">
        <v>146</v>
      </c>
      <c r="C20" s="3"/>
      <c r="D20" s="51"/>
      <c r="E20" s="51"/>
      <c r="F20" s="7">
        <f t="shared" si="8"/>
        <v>1</v>
      </c>
      <c r="G20" s="3"/>
      <c r="H20" s="3" t="s">
        <v>183</v>
      </c>
      <c r="I20" s="3"/>
      <c r="J20" s="3" t="s">
        <v>101</v>
      </c>
      <c r="K20" s="3" t="s">
        <v>127</v>
      </c>
      <c r="L20" s="4">
        <v>370000</v>
      </c>
      <c r="M20" s="4">
        <v>0</v>
      </c>
      <c r="N20" s="4">
        <v>0</v>
      </c>
      <c r="O20" s="3" t="s">
        <v>60</v>
      </c>
      <c r="P20" s="5">
        <f t="shared" si="0"/>
        <v>0</v>
      </c>
      <c r="Q20" s="5">
        <f t="shared" si="1"/>
        <v>370000</v>
      </c>
      <c r="R20" s="5">
        <f t="shared" si="2"/>
        <v>0</v>
      </c>
      <c r="S20" s="4">
        <f>IF(Table1[[#This Row],[الراتب الاسمي
(IQD)]]&lt;1750000,L20*5%,1750000*5%)</f>
        <v>18500</v>
      </c>
      <c r="T20" s="4">
        <v>0</v>
      </c>
      <c r="U20" s="4">
        <v>0</v>
      </c>
      <c r="V20" s="5">
        <f t="shared" si="3"/>
        <v>18500</v>
      </c>
      <c r="W20" s="5">
        <f t="shared" si="9"/>
        <v>208333.33333333334</v>
      </c>
      <c r="X20" s="5">
        <f t="shared" si="4"/>
        <v>143166.66666666666</v>
      </c>
      <c r="Y20" s="6">
        <f t="shared" si="5"/>
        <v>14808.339999999998</v>
      </c>
      <c r="Z20" s="6">
        <f t="shared" si="6"/>
        <v>177700.08</v>
      </c>
      <c r="AA20" s="34">
        <f t="shared" si="7"/>
        <v>336691.66</v>
      </c>
      <c r="AB20">
        <f>Table1[[#This Row],[الراتب الاسمي
(IQD)]]*Table1[[#This Row],[ ‏عدد الأشهر ]]</f>
        <v>370000</v>
      </c>
      <c r="AC20">
        <f>Table1[[#This Row],[مخصصات خاضعة
(IQD)]]*Table1[[#This Row],[ ‏عدد الأشهر ]]</f>
        <v>0</v>
      </c>
      <c r="AD20">
        <f>Table1[[#This Row],[مخصصات  سكن/طعام
نقدي (IQD)]]*Table1[[#This Row],[ ‏عدد الأشهر ]]</f>
        <v>0</v>
      </c>
      <c r="AE20">
        <f>Table1[[#This Row],[إضافة السكن
العيني (IQD)]]*Table1[[#This Row],[ ‏عدد الأشهر ]]</f>
        <v>0</v>
      </c>
      <c r="AF20">
        <f>Table1[[#This Row],[الدخل الإجمالي
(IQD)]]*Table1[[#This Row],[ ‏عدد الأشهر ]]</f>
        <v>370000</v>
      </c>
      <c r="AG20">
        <f>Table1[[#This Row],[إعفاء 30%
قطاع خاص (IQD)    ١ ب]]*Table1[[#This Row],[ ‏عدد الأشهر ]]</f>
        <v>0</v>
      </c>
      <c r="AH20">
        <f>Table1[[#This Row],[توقيفات
تقاعدية (IQD)]]*Table1[[#This Row],[ ‏عدد الأشهر ]]</f>
        <v>18500</v>
      </c>
      <c r="AI20">
        <f>Table1[[#This Row],[تأمين حياة
شهري (IQD)]]*Table1[[#This Row],[ ‏عدد الأشهر ]]</f>
        <v>0</v>
      </c>
      <c r="AJ20">
        <f>Table1[[#This Row],[نفقة شرعية
(IQD)]]*Table1[[#This Row],[ ‏عدد الأشهر ]]</f>
        <v>0</v>
      </c>
      <c r="AK20">
        <f>Table1[[#This Row],[تأمين حياة
 (IQD) سنوي]]+Table1[[#This Row],[نفقة شرعية
(IQD) سنوي]]</f>
        <v>0</v>
      </c>
      <c r="AL20">
        <f>Table1[[#This Row],[إجمالي
التنزيلات (IQD)]]*Table1[[#This Row],[ ‏عدد الأشهر ]]</f>
        <v>18500</v>
      </c>
      <c r="AM20">
        <f>Table1[[#This Row],[السماح الشهري
(IQD)]]*Table1[[#This Row],[ ‏عدد الأشهر ]]</f>
        <v>208333.33333333334</v>
      </c>
      <c r="AN20">
        <f>Table1[[#This Row],[الوعاء الضريبي
الصافي (IQD)]]*Table1[[#This Row],[ ‏عدد الأشهر ]]</f>
        <v>143166.66666666666</v>
      </c>
    </row>
    <row r="21" spans="1:50" x14ac:dyDescent="0.3">
      <c r="A21" s="38" t="s">
        <v>218</v>
      </c>
      <c r="B21" s="39"/>
      <c r="C21" s="39"/>
      <c r="D21" s="53"/>
      <c r="E21" s="53"/>
      <c r="F21" s="39"/>
      <c r="G21" s="39"/>
      <c r="H21" s="40"/>
      <c r="I21" s="39"/>
      <c r="J21" s="40"/>
      <c r="K21" s="40"/>
      <c r="L21" s="41">
        <f>SUBTOTAL(109,Table1[الراتب الاسمي
(IQD)])</f>
        <v>7265000</v>
      </c>
      <c r="M21" s="42"/>
      <c r="N21" s="42"/>
      <c r="O21" s="42"/>
      <c r="P21" s="45"/>
      <c r="Q21" s="45"/>
      <c r="R21" s="45"/>
      <c r="S21" s="40"/>
      <c r="T21" s="42"/>
      <c r="U21" s="42"/>
      <c r="V21" s="45"/>
      <c r="W21" s="46"/>
      <c r="X21" s="45"/>
      <c r="Y21" s="43">
        <f>SUBTOTAL(109,Table1[الضريبة
الشهرية (IQD)])</f>
        <v>237954.25999999998</v>
      </c>
      <c r="Z21" s="47"/>
      <c r="AA21" s="44">
        <f>SUBTOTAL(109,Table1[صافي الراتب
المستلم (IQD)])</f>
        <v>6663795.7400000012</v>
      </c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</row>
    <row r="23" spans="1:50" x14ac:dyDescent="0.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50" x14ac:dyDescent="0.3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1:50" x14ac:dyDescent="0.3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70" spans="13:14" x14ac:dyDescent="0.3">
      <c r="M70" t="s">
        <v>128</v>
      </c>
      <c r="N70" t="s">
        <v>182</v>
      </c>
    </row>
    <row r="71" spans="13:14" x14ac:dyDescent="0.3">
      <c r="M71" t="s">
        <v>129</v>
      </c>
      <c r="N71" t="s">
        <v>183</v>
      </c>
    </row>
    <row r="72" spans="13:14" x14ac:dyDescent="0.3">
      <c r="M72" t="s">
        <v>184</v>
      </c>
      <c r="N72" t="s">
        <v>182</v>
      </c>
    </row>
    <row r="73" spans="13:14" x14ac:dyDescent="0.3">
      <c r="M73" t="s">
        <v>130</v>
      </c>
      <c r="N73" t="s">
        <v>183</v>
      </c>
    </row>
    <row r="74" spans="13:14" x14ac:dyDescent="0.3">
      <c r="M74" t="s">
        <v>131</v>
      </c>
      <c r="N74" t="s">
        <v>182</v>
      </c>
    </row>
    <row r="75" spans="13:14" x14ac:dyDescent="0.3">
      <c r="M75" t="s">
        <v>185</v>
      </c>
      <c r="N75" t="s">
        <v>183</v>
      </c>
    </row>
    <row r="76" spans="13:14" x14ac:dyDescent="0.3">
      <c r="M76" t="s">
        <v>186</v>
      </c>
      <c r="N76" t="s">
        <v>183</v>
      </c>
    </row>
    <row r="77" spans="13:14" x14ac:dyDescent="0.3">
      <c r="M77" t="s">
        <v>132</v>
      </c>
      <c r="N77" t="s">
        <v>183</v>
      </c>
    </row>
    <row r="78" spans="13:14" x14ac:dyDescent="0.3">
      <c r="M78" t="s">
        <v>187</v>
      </c>
      <c r="N78" t="s">
        <v>182</v>
      </c>
    </row>
    <row r="79" spans="13:14" x14ac:dyDescent="0.3">
      <c r="M79" t="s">
        <v>134</v>
      </c>
      <c r="N79" s="30" t="s">
        <v>183</v>
      </c>
    </row>
    <row r="80" spans="13:14" x14ac:dyDescent="0.3">
      <c r="M80" t="s">
        <v>133</v>
      </c>
      <c r="N80" t="s">
        <v>183</v>
      </c>
    </row>
    <row r="81" spans="13:14" x14ac:dyDescent="0.3">
      <c r="M81" t="s">
        <v>188</v>
      </c>
      <c r="N81" t="s">
        <v>183</v>
      </c>
    </row>
    <row r="82" spans="13:14" x14ac:dyDescent="0.3">
      <c r="M82" t="s">
        <v>136</v>
      </c>
      <c r="N82" t="s">
        <v>182</v>
      </c>
    </row>
    <row r="83" spans="13:14" x14ac:dyDescent="0.3">
      <c r="M83" t="s">
        <v>138</v>
      </c>
      <c r="N83" t="s">
        <v>182</v>
      </c>
    </row>
    <row r="84" spans="13:14" x14ac:dyDescent="0.3">
      <c r="M84" t="s">
        <v>137</v>
      </c>
      <c r="N84" t="s">
        <v>183</v>
      </c>
    </row>
    <row r="85" spans="13:14" x14ac:dyDescent="0.3">
      <c r="M85" t="s">
        <v>135</v>
      </c>
      <c r="N85" t="s">
        <v>182</v>
      </c>
    </row>
    <row r="86" spans="13:14" x14ac:dyDescent="0.3">
      <c r="M86" t="s">
        <v>139</v>
      </c>
      <c r="N86" s="31" t="s">
        <v>183</v>
      </c>
    </row>
    <row r="87" spans="13:14" x14ac:dyDescent="0.3">
      <c r="M87" t="s">
        <v>156</v>
      </c>
      <c r="N87" t="s">
        <v>183</v>
      </c>
    </row>
    <row r="88" spans="13:14" x14ac:dyDescent="0.3">
      <c r="M88" t="s">
        <v>155</v>
      </c>
      <c r="N88" s="32" t="s">
        <v>183</v>
      </c>
    </row>
    <row r="89" spans="13:14" x14ac:dyDescent="0.3">
      <c r="M89" t="s">
        <v>145</v>
      </c>
      <c r="N89" t="s">
        <v>183</v>
      </c>
    </row>
    <row r="90" spans="13:14" x14ac:dyDescent="0.3">
      <c r="M90" t="s">
        <v>159</v>
      </c>
      <c r="N90" t="s">
        <v>183</v>
      </c>
    </row>
    <row r="91" spans="13:14" x14ac:dyDescent="0.3">
      <c r="M91" t="s">
        <v>157</v>
      </c>
      <c r="N91" t="s">
        <v>183</v>
      </c>
    </row>
    <row r="92" spans="13:14" x14ac:dyDescent="0.3">
      <c r="M92" t="s">
        <v>158</v>
      </c>
      <c r="N92" t="s">
        <v>183</v>
      </c>
    </row>
    <row r="93" spans="13:14" x14ac:dyDescent="0.3">
      <c r="M93" t="s">
        <v>189</v>
      </c>
      <c r="N93" t="s">
        <v>183</v>
      </c>
    </row>
    <row r="94" spans="13:14" x14ac:dyDescent="0.3">
      <c r="M94" t="s">
        <v>190</v>
      </c>
      <c r="N94" t="s">
        <v>183</v>
      </c>
    </row>
    <row r="95" spans="13:14" x14ac:dyDescent="0.3">
      <c r="M95" t="s">
        <v>191</v>
      </c>
      <c r="N95" t="s">
        <v>183</v>
      </c>
    </row>
    <row r="96" spans="13:14" x14ac:dyDescent="0.3">
      <c r="M96" t="s">
        <v>146</v>
      </c>
      <c r="N96" s="32" t="s">
        <v>183</v>
      </c>
    </row>
    <row r="97" spans="13:14" x14ac:dyDescent="0.3">
      <c r="M97" t="s">
        <v>192</v>
      </c>
      <c r="N97" t="s">
        <v>183</v>
      </c>
    </row>
    <row r="98" spans="13:14" x14ac:dyDescent="0.3">
      <c r="M98" t="s">
        <v>144</v>
      </c>
      <c r="N98" s="32" t="s">
        <v>183</v>
      </c>
    </row>
    <row r="99" spans="13:14" x14ac:dyDescent="0.3">
      <c r="M99" t="s">
        <v>193</v>
      </c>
      <c r="N99" t="s">
        <v>183</v>
      </c>
    </row>
    <row r="100" spans="13:14" x14ac:dyDescent="0.3">
      <c r="M100" t="s">
        <v>154</v>
      </c>
      <c r="N100" t="s">
        <v>182</v>
      </c>
    </row>
    <row r="101" spans="13:14" x14ac:dyDescent="0.3">
      <c r="M101" t="s">
        <v>153</v>
      </c>
      <c r="N101" t="s">
        <v>182</v>
      </c>
    </row>
    <row r="102" spans="13:14" x14ac:dyDescent="0.3">
      <c r="M102" t="s">
        <v>194</v>
      </c>
      <c r="N102" t="s">
        <v>183</v>
      </c>
    </row>
    <row r="103" spans="13:14" x14ac:dyDescent="0.3">
      <c r="M103" t="s">
        <v>152</v>
      </c>
      <c r="N103" t="s">
        <v>182</v>
      </c>
    </row>
    <row r="104" spans="13:14" x14ac:dyDescent="0.3">
      <c r="M104" t="s">
        <v>195</v>
      </c>
      <c r="N104" t="s">
        <v>183</v>
      </c>
    </row>
    <row r="105" spans="13:14" x14ac:dyDescent="0.3">
      <c r="M105" t="s">
        <v>196</v>
      </c>
      <c r="N105" t="s">
        <v>183</v>
      </c>
    </row>
    <row r="106" spans="13:14" x14ac:dyDescent="0.3">
      <c r="M106" t="s">
        <v>197</v>
      </c>
      <c r="N106" t="s">
        <v>183</v>
      </c>
    </row>
    <row r="107" spans="13:14" x14ac:dyDescent="0.3">
      <c r="M107" t="s">
        <v>151</v>
      </c>
      <c r="N107" t="s">
        <v>182</v>
      </c>
    </row>
    <row r="108" spans="13:14" x14ac:dyDescent="0.3">
      <c r="M108" t="s">
        <v>150</v>
      </c>
      <c r="N108" t="s">
        <v>183</v>
      </c>
    </row>
    <row r="109" spans="13:14" x14ac:dyDescent="0.3">
      <c r="M109" t="s">
        <v>149</v>
      </c>
      <c r="N109" t="s">
        <v>183</v>
      </c>
    </row>
    <row r="110" spans="13:14" x14ac:dyDescent="0.3">
      <c r="M110" t="s">
        <v>148</v>
      </c>
      <c r="N110" t="s">
        <v>182</v>
      </c>
    </row>
    <row r="111" spans="13:14" x14ac:dyDescent="0.3">
      <c r="M111" t="s">
        <v>198</v>
      </c>
      <c r="N111" s="32" t="s">
        <v>182</v>
      </c>
    </row>
    <row r="112" spans="13:14" x14ac:dyDescent="0.3">
      <c r="M112" t="s">
        <v>199</v>
      </c>
      <c r="N112" t="s">
        <v>183</v>
      </c>
    </row>
    <row r="113" spans="13:14" x14ac:dyDescent="0.3">
      <c r="M113" t="s">
        <v>200</v>
      </c>
      <c r="N113" t="s">
        <v>182</v>
      </c>
    </row>
    <row r="114" spans="13:14" x14ac:dyDescent="0.3">
      <c r="M114" t="s">
        <v>201</v>
      </c>
      <c r="N114" t="s">
        <v>183</v>
      </c>
    </row>
    <row r="115" spans="13:14" x14ac:dyDescent="0.3">
      <c r="M115" t="s">
        <v>147</v>
      </c>
      <c r="N115" s="32" t="s">
        <v>182</v>
      </c>
    </row>
    <row r="116" spans="13:14" x14ac:dyDescent="0.3">
      <c r="M116" t="s">
        <v>143</v>
      </c>
      <c r="N116" t="s">
        <v>183</v>
      </c>
    </row>
    <row r="117" spans="13:14" x14ac:dyDescent="0.3">
      <c r="M117" t="s">
        <v>142</v>
      </c>
      <c r="N117" t="s">
        <v>183</v>
      </c>
    </row>
    <row r="118" spans="13:14" x14ac:dyDescent="0.3">
      <c r="M118" t="s">
        <v>202</v>
      </c>
      <c r="N118" t="s">
        <v>183</v>
      </c>
    </row>
    <row r="119" spans="13:14" x14ac:dyDescent="0.3">
      <c r="M119" t="s">
        <v>141</v>
      </c>
      <c r="N119" t="s">
        <v>182</v>
      </c>
    </row>
    <row r="120" spans="13:14" x14ac:dyDescent="0.3">
      <c r="M120" t="s">
        <v>140</v>
      </c>
      <c r="N120" t="s">
        <v>183</v>
      </c>
    </row>
    <row r="121" spans="13:14" x14ac:dyDescent="0.3">
      <c r="M121" t="s">
        <v>203</v>
      </c>
      <c r="N121" t="s">
        <v>182</v>
      </c>
    </row>
    <row r="122" spans="13:14" x14ac:dyDescent="0.3">
      <c r="M122" t="s">
        <v>204</v>
      </c>
      <c r="N122" t="s">
        <v>183</v>
      </c>
    </row>
    <row r="123" spans="13:14" x14ac:dyDescent="0.3">
      <c r="M123" t="s">
        <v>161</v>
      </c>
      <c r="N123" t="s">
        <v>183</v>
      </c>
    </row>
    <row r="124" spans="13:14" x14ac:dyDescent="0.3">
      <c r="M124" t="s">
        <v>160</v>
      </c>
      <c r="N124" t="s">
        <v>183</v>
      </c>
    </row>
    <row r="125" spans="13:14" x14ac:dyDescent="0.3">
      <c r="M125" t="s">
        <v>162</v>
      </c>
      <c r="N125" s="32" t="s">
        <v>182</v>
      </c>
    </row>
    <row r="126" spans="13:14" x14ac:dyDescent="0.3">
      <c r="M126" t="s">
        <v>163</v>
      </c>
      <c r="N126" s="32" t="s">
        <v>182</v>
      </c>
    </row>
    <row r="127" spans="13:14" x14ac:dyDescent="0.3">
      <c r="M127" t="s">
        <v>205</v>
      </c>
      <c r="N127" s="32" t="s">
        <v>183</v>
      </c>
    </row>
    <row r="128" spans="13:14" x14ac:dyDescent="0.3">
      <c r="M128" t="s">
        <v>164</v>
      </c>
      <c r="N128" s="32" t="s">
        <v>182</v>
      </c>
    </row>
    <row r="129" spans="13:14" x14ac:dyDescent="0.3">
      <c r="M129" t="s">
        <v>206</v>
      </c>
      <c r="N129" s="32" t="s">
        <v>182</v>
      </c>
    </row>
    <row r="130" spans="13:14" x14ac:dyDescent="0.3">
      <c r="M130" t="s">
        <v>165</v>
      </c>
      <c r="N130" s="32" t="s">
        <v>183</v>
      </c>
    </row>
    <row r="131" spans="13:14" x14ac:dyDescent="0.3">
      <c r="M131" t="s">
        <v>207</v>
      </c>
      <c r="N131" s="32" t="s">
        <v>183</v>
      </c>
    </row>
    <row r="132" spans="13:14" x14ac:dyDescent="0.3">
      <c r="M132" t="s">
        <v>166</v>
      </c>
      <c r="N132" s="32" t="s">
        <v>182</v>
      </c>
    </row>
    <row r="133" spans="13:14" x14ac:dyDescent="0.3">
      <c r="M133" t="s">
        <v>208</v>
      </c>
      <c r="N133" s="32" t="s">
        <v>183</v>
      </c>
    </row>
    <row r="134" spans="13:14" x14ac:dyDescent="0.3">
      <c r="M134" t="s">
        <v>209</v>
      </c>
      <c r="N134" s="32" t="s">
        <v>183</v>
      </c>
    </row>
    <row r="135" spans="13:14" x14ac:dyDescent="0.3">
      <c r="M135" t="s">
        <v>210</v>
      </c>
      <c r="N135" s="32" t="s">
        <v>183</v>
      </c>
    </row>
    <row r="136" spans="13:14" x14ac:dyDescent="0.3">
      <c r="M136" t="s">
        <v>211</v>
      </c>
      <c r="N136" s="32" t="s">
        <v>182</v>
      </c>
    </row>
    <row r="137" spans="13:14" x14ac:dyDescent="0.3">
      <c r="M137" t="s">
        <v>212</v>
      </c>
      <c r="N137" s="32" t="s">
        <v>182</v>
      </c>
    </row>
    <row r="138" spans="13:14" x14ac:dyDescent="0.3">
      <c r="M138" t="s">
        <v>162</v>
      </c>
      <c r="N138" s="32" t="s">
        <v>182</v>
      </c>
    </row>
    <row r="139" spans="13:14" x14ac:dyDescent="0.3">
      <c r="M139" t="s">
        <v>210</v>
      </c>
      <c r="N139" s="32" t="s">
        <v>183</v>
      </c>
    </row>
    <row r="140" spans="13:14" x14ac:dyDescent="0.3">
      <c r="M140" t="s">
        <v>170</v>
      </c>
      <c r="N140" s="32" t="s">
        <v>183</v>
      </c>
    </row>
    <row r="141" spans="13:14" x14ac:dyDescent="0.3">
      <c r="M141" t="s">
        <v>213</v>
      </c>
      <c r="N141" s="32" t="s">
        <v>182</v>
      </c>
    </row>
    <row r="142" spans="13:14" x14ac:dyDescent="0.3">
      <c r="M142" t="s">
        <v>167</v>
      </c>
      <c r="N142" s="32" t="s">
        <v>183</v>
      </c>
    </row>
    <row r="143" spans="13:14" x14ac:dyDescent="0.3">
      <c r="M143" t="s">
        <v>168</v>
      </c>
      <c r="N143" s="32" t="s">
        <v>183</v>
      </c>
    </row>
    <row r="144" spans="13:14" x14ac:dyDescent="0.3">
      <c r="M144" t="s">
        <v>169</v>
      </c>
      <c r="N144" s="32" t="s">
        <v>183</v>
      </c>
    </row>
    <row r="145" spans="13:14" x14ac:dyDescent="0.3">
      <c r="M145" t="s">
        <v>214</v>
      </c>
      <c r="N145" s="32" t="s">
        <v>182</v>
      </c>
    </row>
    <row r="146" spans="13:14" x14ac:dyDescent="0.3">
      <c r="M146" t="s">
        <v>172</v>
      </c>
      <c r="N146" s="32" t="s">
        <v>183</v>
      </c>
    </row>
    <row r="147" spans="13:14" x14ac:dyDescent="0.3">
      <c r="M147" t="s">
        <v>215</v>
      </c>
      <c r="N147" s="32" t="s">
        <v>183</v>
      </c>
    </row>
    <row r="148" spans="13:14" x14ac:dyDescent="0.3">
      <c r="M148" t="s">
        <v>171</v>
      </c>
      <c r="N148" s="32" t="s">
        <v>183</v>
      </c>
    </row>
    <row r="149" spans="13:14" x14ac:dyDescent="0.3">
      <c r="M149" t="s">
        <v>173</v>
      </c>
      <c r="N149" s="32" t="s">
        <v>183</v>
      </c>
    </row>
    <row r="150" spans="13:14" x14ac:dyDescent="0.3">
      <c r="M150" t="s">
        <v>216</v>
      </c>
      <c r="N150" s="32" t="s">
        <v>183</v>
      </c>
    </row>
    <row r="151" spans="13:14" x14ac:dyDescent="0.3">
      <c r="M151" t="s">
        <v>174</v>
      </c>
      <c r="N151" s="32" t="s">
        <v>182</v>
      </c>
    </row>
    <row r="152" spans="13:14" x14ac:dyDescent="0.3">
      <c r="M152" t="s">
        <v>217</v>
      </c>
      <c r="N152" s="32" t="s">
        <v>183</v>
      </c>
    </row>
    <row r="153" spans="13:14" x14ac:dyDescent="0.3">
      <c r="M153" t="s">
        <v>175</v>
      </c>
      <c r="N153" s="32" t="s">
        <v>183</v>
      </c>
    </row>
    <row r="154" spans="13:14" x14ac:dyDescent="0.3">
      <c r="M154" t="s">
        <v>176</v>
      </c>
      <c r="N154" s="32" t="s">
        <v>183</v>
      </c>
    </row>
    <row r="155" spans="13:14" x14ac:dyDescent="0.3">
      <c r="M155" t="s">
        <v>179</v>
      </c>
      <c r="N155" s="32" t="s">
        <v>183</v>
      </c>
    </row>
    <row r="156" spans="13:14" x14ac:dyDescent="0.3">
      <c r="M156" t="s">
        <v>178</v>
      </c>
      <c r="N156" s="32" t="s">
        <v>183</v>
      </c>
    </row>
    <row r="157" spans="13:14" x14ac:dyDescent="0.3">
      <c r="M157" t="s">
        <v>177</v>
      </c>
      <c r="N157" s="32" t="s">
        <v>183</v>
      </c>
    </row>
    <row r="158" spans="13:14" x14ac:dyDescent="0.3">
      <c r="M158" t="s">
        <v>180</v>
      </c>
      <c r="N158" s="32" t="s">
        <v>183</v>
      </c>
    </row>
    <row r="159" spans="13:14" x14ac:dyDescent="0.3">
      <c r="M159" t="s">
        <v>181</v>
      </c>
      <c r="N159" s="32" t="s">
        <v>183</v>
      </c>
    </row>
  </sheetData>
  <mergeCells count="3">
    <mergeCell ref="A23:AA23"/>
    <mergeCell ref="A24:AA24"/>
    <mergeCell ref="A25:AA25"/>
  </mergeCells>
  <phoneticPr fontId="16" type="noConversion"/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rightToLeft="1" zoomScaleNormal="100" workbookViewId="0">
      <selection sqref="A1:E1"/>
    </sheetView>
  </sheetViews>
  <sheetFormatPr defaultColWidth="8.6640625" defaultRowHeight="14.4" x14ac:dyDescent="0.3"/>
  <cols>
    <col min="1" max="6" width="20" customWidth="1"/>
  </cols>
  <sheetData>
    <row r="1" spans="1:6" ht="15" customHeight="1" x14ac:dyDescent="0.3">
      <c r="A1" s="59" t="s">
        <v>61</v>
      </c>
      <c r="B1" s="59"/>
      <c r="C1" s="59"/>
      <c r="D1" s="59"/>
      <c r="E1" s="59"/>
    </row>
    <row r="2" spans="1:6" ht="15" customHeight="1" x14ac:dyDescent="0.3">
      <c r="A2" s="60" t="s">
        <v>62</v>
      </c>
      <c r="B2" s="60"/>
      <c r="C2" s="60"/>
      <c r="D2" s="60"/>
      <c r="E2" s="60"/>
      <c r="F2" s="60"/>
    </row>
    <row r="3" spans="1:6" x14ac:dyDescent="0.3">
      <c r="A3" s="10" t="s">
        <v>63</v>
      </c>
      <c r="B3" s="10" t="s">
        <v>64</v>
      </c>
      <c r="C3" s="10" t="s">
        <v>65</v>
      </c>
      <c r="D3" s="10" t="s">
        <v>66</v>
      </c>
      <c r="E3" s="10" t="s">
        <v>67</v>
      </c>
      <c r="F3" s="10" t="s">
        <v>68</v>
      </c>
    </row>
    <row r="4" spans="1:6" ht="21.75" customHeight="1" x14ac:dyDescent="0.3">
      <c r="A4" s="11" t="s">
        <v>69</v>
      </c>
      <c r="B4" s="12">
        <v>1</v>
      </c>
      <c r="C4" s="12">
        <v>20833</v>
      </c>
      <c r="D4" s="12">
        <v>12</v>
      </c>
      <c r="E4" s="12">
        <v>249996</v>
      </c>
      <c r="F4" s="13" t="s">
        <v>70</v>
      </c>
    </row>
    <row r="5" spans="1:6" ht="21.75" customHeight="1" x14ac:dyDescent="0.3">
      <c r="A5" s="14" t="s">
        <v>71</v>
      </c>
      <c r="B5" s="15">
        <v>20834</v>
      </c>
      <c r="C5" s="15">
        <v>41667</v>
      </c>
      <c r="D5" s="15">
        <v>250008</v>
      </c>
      <c r="E5" s="15">
        <v>500004</v>
      </c>
      <c r="F5" s="16" t="s">
        <v>72</v>
      </c>
    </row>
    <row r="6" spans="1:6" ht="21.75" customHeight="1" x14ac:dyDescent="0.3">
      <c r="A6" s="17" t="s">
        <v>73</v>
      </c>
      <c r="B6" s="18">
        <v>41668</v>
      </c>
      <c r="C6" s="18">
        <v>83333</v>
      </c>
      <c r="D6" s="18">
        <v>500016</v>
      </c>
      <c r="E6" s="18">
        <v>999996</v>
      </c>
      <c r="F6" s="19" t="s">
        <v>74</v>
      </c>
    </row>
    <row r="7" spans="1:6" ht="21.75" customHeight="1" x14ac:dyDescent="0.3">
      <c r="A7" s="20" t="s">
        <v>75</v>
      </c>
      <c r="B7" s="21">
        <v>83334</v>
      </c>
      <c r="C7" s="20" t="s">
        <v>76</v>
      </c>
      <c r="D7" s="21">
        <v>1000008</v>
      </c>
      <c r="E7" s="20" t="s">
        <v>76</v>
      </c>
      <c r="F7" s="22" t="s">
        <v>77</v>
      </c>
    </row>
  </sheetData>
  <mergeCells count="2">
    <mergeCell ref="A1:E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rightToLeft="1" zoomScaleNormal="100" workbookViewId="0">
      <selection sqref="A1:D1"/>
    </sheetView>
  </sheetViews>
  <sheetFormatPr defaultColWidth="8.6640625" defaultRowHeight="14.4" x14ac:dyDescent="0.3"/>
  <cols>
    <col min="1" max="1" width="35" customWidth="1"/>
    <col min="2" max="3" width="25" customWidth="1"/>
    <col min="4" max="4" width="45" customWidth="1"/>
  </cols>
  <sheetData>
    <row r="1" spans="1:4" ht="15" customHeight="1" x14ac:dyDescent="0.3">
      <c r="A1" s="59" t="s">
        <v>78</v>
      </c>
      <c r="B1" s="59"/>
      <c r="C1" s="59"/>
      <c r="D1" s="59"/>
    </row>
    <row r="2" spans="1:4" x14ac:dyDescent="0.3">
      <c r="A2" s="23" t="s">
        <v>79</v>
      </c>
      <c r="B2" s="23" t="s">
        <v>80</v>
      </c>
      <c r="C2" s="23" t="s">
        <v>81</v>
      </c>
      <c r="D2" s="23" t="s">
        <v>82</v>
      </c>
    </row>
    <row r="3" spans="1:4" ht="21.75" customHeight="1" x14ac:dyDescent="0.3">
      <c r="A3" s="24" t="s">
        <v>83</v>
      </c>
      <c r="B3" s="9">
        <v>2500000</v>
      </c>
      <c r="C3" s="9">
        <f>B3/12</f>
        <v>208333.33333333334</v>
      </c>
      <c r="D3" s="24" t="s">
        <v>84</v>
      </c>
    </row>
    <row r="4" spans="1:4" ht="21.75" customHeight="1" x14ac:dyDescent="0.3">
      <c r="A4" s="25" t="s">
        <v>85</v>
      </c>
      <c r="B4" s="5">
        <v>2000000</v>
      </c>
      <c r="C4" s="5">
        <f>B4/12</f>
        <v>166666.66666666666</v>
      </c>
      <c r="D4" s="25" t="s">
        <v>86</v>
      </c>
    </row>
    <row r="5" spans="1:4" ht="21.75" customHeight="1" x14ac:dyDescent="0.3">
      <c r="A5" s="24" t="s">
        <v>87</v>
      </c>
      <c r="B5" s="9">
        <v>3200000</v>
      </c>
      <c r="C5" s="9">
        <f>B5/12</f>
        <v>266666.66666666669</v>
      </c>
      <c r="D5" s="24" t="s">
        <v>88</v>
      </c>
    </row>
    <row r="6" spans="1:4" ht="21.75" customHeight="1" x14ac:dyDescent="0.3">
      <c r="A6" s="25" t="s">
        <v>89</v>
      </c>
      <c r="B6" s="5">
        <v>200000</v>
      </c>
      <c r="C6" s="5">
        <f>B6/12</f>
        <v>16666.666666666668</v>
      </c>
      <c r="D6" s="25" t="s">
        <v>90</v>
      </c>
    </row>
    <row r="7" spans="1:4" ht="21.75" customHeight="1" x14ac:dyDescent="0.3">
      <c r="A7" s="24" t="s">
        <v>91</v>
      </c>
      <c r="B7" s="9">
        <v>300000</v>
      </c>
      <c r="C7" s="9">
        <f>B7/12</f>
        <v>25000</v>
      </c>
      <c r="D7" s="24" t="s">
        <v>92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rightToLeft="1" topLeftCell="A34" zoomScaleNormal="100" workbookViewId="0">
      <selection activeCell="B7" sqref="B7"/>
    </sheetView>
  </sheetViews>
  <sheetFormatPr defaultColWidth="8.6640625" defaultRowHeight="14.4" x14ac:dyDescent="0.3"/>
  <cols>
    <col min="1" max="1" width="38" customWidth="1"/>
    <col min="2" max="4" width="25" customWidth="1"/>
  </cols>
  <sheetData>
    <row r="1" spans="1:4" ht="15" customHeight="1" x14ac:dyDescent="0.3">
      <c r="A1" s="59" t="s">
        <v>93</v>
      </c>
      <c r="B1" s="59"/>
      <c r="C1" s="59"/>
      <c r="D1" s="59"/>
    </row>
    <row r="2" spans="1:4" ht="15" customHeight="1" x14ac:dyDescent="0.3">
      <c r="A2" s="60" t="s">
        <v>94</v>
      </c>
      <c r="B2" s="60"/>
      <c r="C2" s="60"/>
      <c r="D2" s="60"/>
    </row>
    <row r="3" spans="1:4" ht="21.75" customHeight="1" x14ac:dyDescent="0.3">
      <c r="A3" s="48" t="s">
        <v>38</v>
      </c>
      <c r="B3" s="29" t="s">
        <v>219</v>
      </c>
      <c r="C3" s="48">
        <v>1</v>
      </c>
      <c r="D3" s="48"/>
    </row>
    <row r="4" spans="1:4" ht="21.75" customHeight="1" x14ac:dyDescent="0.3">
      <c r="A4" s="26" t="s">
        <v>41</v>
      </c>
      <c r="B4" s="3"/>
      <c r="C4" t="str">
        <f>VLOOKUP(C3,Table1[#All],2,0)</f>
        <v>محمود خضير سلمان</v>
      </c>
    </row>
    <row r="5" spans="1:4" ht="21.75" customHeight="1" x14ac:dyDescent="0.3">
      <c r="A5" s="26" t="s">
        <v>8</v>
      </c>
      <c r="B5" s="3" t="s">
        <v>95</v>
      </c>
      <c r="D5" s="27" t="s">
        <v>96</v>
      </c>
    </row>
    <row r="6" spans="1:4" ht="21.75" customHeight="1" x14ac:dyDescent="0.3">
      <c r="A6" s="26" t="s">
        <v>6</v>
      </c>
      <c r="B6" s="3">
        <f>VLOOKUP(C3,Table1[#All],4,0)</f>
        <v>46023</v>
      </c>
      <c r="D6" s="27" t="s">
        <v>97</v>
      </c>
    </row>
    <row r="7" spans="1:4" ht="21.75" customHeight="1" x14ac:dyDescent="0.3">
      <c r="A7" s="26" t="s">
        <v>98</v>
      </c>
      <c r="B7" s="4">
        <v>0</v>
      </c>
      <c r="D7" s="27" t="s">
        <v>99</v>
      </c>
    </row>
    <row r="8" spans="1:4" ht="21.75" customHeight="1" x14ac:dyDescent="0.3">
      <c r="A8" s="26" t="s">
        <v>100</v>
      </c>
      <c r="B8" s="3" t="s">
        <v>101</v>
      </c>
      <c r="D8" s="27" t="s">
        <v>102</v>
      </c>
    </row>
    <row r="9" spans="1:4" ht="21.75" customHeight="1" x14ac:dyDescent="0.3">
      <c r="A9" s="26" t="s">
        <v>10</v>
      </c>
      <c r="B9" s="3" t="s">
        <v>103</v>
      </c>
      <c r="D9" s="27" t="s">
        <v>104</v>
      </c>
    </row>
    <row r="10" spans="1:4" ht="21.75" customHeight="1" x14ac:dyDescent="0.3">
      <c r="A10" s="61" t="s">
        <v>39</v>
      </c>
      <c r="B10" s="61"/>
      <c r="C10" s="61"/>
      <c r="D10" s="61"/>
    </row>
    <row r="11" spans="1:4" ht="21.75" customHeight="1" x14ac:dyDescent="0.3">
      <c r="A11" s="26" t="s">
        <v>105</v>
      </c>
      <c r="B11" s="4">
        <v>0</v>
      </c>
    </row>
    <row r="12" spans="1:4" ht="21.75" customHeight="1" x14ac:dyDescent="0.3">
      <c r="A12" s="26" t="s">
        <v>106</v>
      </c>
      <c r="B12" s="4">
        <v>0</v>
      </c>
      <c r="D12" s="27" t="s">
        <v>107</v>
      </c>
    </row>
    <row r="13" spans="1:4" ht="21.75" customHeight="1" x14ac:dyDescent="0.3">
      <c r="A13" s="26" t="s">
        <v>108</v>
      </c>
      <c r="B13" s="4">
        <v>0</v>
      </c>
      <c r="D13" s="27" t="s">
        <v>109</v>
      </c>
    </row>
    <row r="14" spans="1:4" ht="21.75" customHeight="1" x14ac:dyDescent="0.3">
      <c r="A14" s="26" t="s">
        <v>110</v>
      </c>
      <c r="B14" s="3" t="s">
        <v>60</v>
      </c>
      <c r="D14" s="27" t="s">
        <v>111</v>
      </c>
    </row>
    <row r="15" spans="1:4" ht="21.75" customHeight="1" x14ac:dyDescent="0.3">
      <c r="A15" s="26" t="s">
        <v>112</v>
      </c>
      <c r="C15" s="28">
        <f>IF(B13="مؤثث",B10*0.2,IF(B13="غير مؤثث",B10*0.1,0))</f>
        <v>0</v>
      </c>
    </row>
    <row r="16" spans="1:4" ht="21.75" customHeight="1" x14ac:dyDescent="0.3">
      <c r="A16" s="26" t="s">
        <v>113</v>
      </c>
      <c r="C16" s="28">
        <f>B10+B11+B12+C14</f>
        <v>0</v>
      </c>
    </row>
    <row r="17" spans="1:4" ht="21.75" customHeight="1" x14ac:dyDescent="0.3">
      <c r="A17" s="61" t="s">
        <v>114</v>
      </c>
      <c r="B17" s="61"/>
      <c r="C17" s="61"/>
      <c r="D17" s="61"/>
    </row>
    <row r="18" spans="1:4" ht="21.75" customHeight="1" x14ac:dyDescent="0.3">
      <c r="A18" s="26" t="s">
        <v>22</v>
      </c>
      <c r="B18" s="4">
        <v>0</v>
      </c>
    </row>
    <row r="19" spans="1:4" ht="21.75" customHeight="1" x14ac:dyDescent="0.3">
      <c r="A19" s="26" t="s">
        <v>115</v>
      </c>
      <c r="B19" s="4">
        <v>0</v>
      </c>
      <c r="D19" s="27" t="s">
        <v>116</v>
      </c>
    </row>
    <row r="20" spans="1:4" ht="21.75" customHeight="1" x14ac:dyDescent="0.3">
      <c r="A20" s="26" t="s">
        <v>26</v>
      </c>
      <c r="B20" s="4">
        <v>0</v>
      </c>
      <c r="D20" s="27" t="s">
        <v>117</v>
      </c>
    </row>
    <row r="21" spans="1:4" ht="21.75" customHeight="1" x14ac:dyDescent="0.3">
      <c r="A21" s="26" t="s">
        <v>118</v>
      </c>
      <c r="C21" s="28">
        <f>IF(B8="خاص",MIN(B11+B12,B10*0.3),0)</f>
        <v>0</v>
      </c>
    </row>
    <row r="22" spans="1:4" ht="21.75" customHeight="1" x14ac:dyDescent="0.3">
      <c r="A22" s="26" t="s">
        <v>119</v>
      </c>
      <c r="C22" s="28">
        <f>B17+MIN(B18,166667)+B19+C20</f>
        <v>0</v>
      </c>
    </row>
    <row r="23" spans="1:4" ht="21.75" customHeight="1" x14ac:dyDescent="0.3">
      <c r="A23" s="61" t="s">
        <v>120</v>
      </c>
      <c r="B23" s="61"/>
      <c r="C23" s="61"/>
      <c r="D23" s="61"/>
    </row>
    <row r="24" spans="1:4" ht="21.75" customHeight="1" x14ac:dyDescent="0.3">
      <c r="A24" s="26" t="s">
        <v>121</v>
      </c>
      <c r="C24" s="28">
        <f>IF(B4="غير مقيم",0,IF(B5="متزوج-زوجة ربة بيت",4500000/12,IF(OR(B5="أرمل",B5="مطلق"),3200000/12,2500000/12))+IF(ISNUMBER(B6),B6,0)*200000/12+IF(B7="نعم",300000/12,0))</f>
        <v>767258333.33333337</v>
      </c>
    </row>
    <row r="25" spans="1:4" ht="21.75" customHeight="1" x14ac:dyDescent="0.3">
      <c r="A25" s="61" t="s">
        <v>122</v>
      </c>
      <c r="B25" s="61"/>
      <c r="C25" s="61"/>
      <c r="D25" s="61"/>
    </row>
    <row r="26" spans="1:4" ht="21.75" customHeight="1" x14ac:dyDescent="0.3">
      <c r="A26" s="26" t="s">
        <v>123</v>
      </c>
      <c r="C26" s="28">
        <f>MAX(0,C15-C21-C23)</f>
        <v>0</v>
      </c>
    </row>
    <row r="27" spans="1:4" ht="21.75" customHeight="1" x14ac:dyDescent="0.3">
      <c r="A27" s="26" t="s">
        <v>124</v>
      </c>
      <c r="C27" s="28">
        <f>IF(C25&lt;=0,0,IF(C25&lt;=20833,C25*0.03,IF(C25&lt;=41667,20833*0.03+(C25-20833)*0.05,IF(C25&lt;=83333,20833*0.03+20834*0.05+(C25-41667)*0.1,20833*0.03+20834*0.05+41666*0.1+(C25-83333)*0.15))))</f>
        <v>0</v>
      </c>
    </row>
    <row r="28" spans="1:4" ht="21.75" customHeight="1" x14ac:dyDescent="0.3">
      <c r="A28" s="26" t="s">
        <v>125</v>
      </c>
      <c r="C28" s="28">
        <f>C26*12</f>
        <v>0</v>
      </c>
    </row>
    <row r="29" spans="1:4" ht="21.75" customHeight="1" x14ac:dyDescent="0.3">
      <c r="A29" s="26" t="s">
        <v>126</v>
      </c>
      <c r="C29" s="28">
        <f>C15-C26-B17</f>
        <v>0</v>
      </c>
    </row>
  </sheetData>
  <mergeCells count="6">
    <mergeCell ref="A23:D23"/>
    <mergeCell ref="A25:D25"/>
    <mergeCell ref="A1:D1"/>
    <mergeCell ref="A2:D2"/>
    <mergeCell ref="A10:D10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التعليمات والملاحظات</vt:lpstr>
      <vt:lpstr>حساب الضريبة الشهرية</vt:lpstr>
      <vt:lpstr>مقياس الضريبة</vt:lpstr>
      <vt:lpstr>جدول السماحات</vt:lpstr>
      <vt:lpstr>بطاقة موظف منفردة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Middle East Co. Law Firm</cp:lastModifiedBy>
  <cp:revision>0</cp:revision>
  <dcterms:created xsi:type="dcterms:W3CDTF">2026-03-06T11:31:51Z</dcterms:created>
  <dcterms:modified xsi:type="dcterms:W3CDTF">2026-07-16T16:10:56Z</dcterms:modified>
  <dc:language>en-US</dc:language>
</cp:coreProperties>
</file>